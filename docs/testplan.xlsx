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s" sheetId="2" state="visible" r:id="rId2"/>
    <sheet name="Test Cases" sheetId="3" state="visible" r:id="rId3"/>
    <sheet name="Traceability" sheetId="4" state="visible" r:id="rId4"/>
    <sheet name="Coverage" sheetId="5" state="visible" r:id="rId5"/>
    <sheet name="Checkers" sheetId="6" state="visible" r:id="rId6"/>
    <sheet name="Findings" sheetId="7" state="visible" r:id="rId7"/>
    <sheet name="Regression" sheetId="8" state="visible" r:id="rId8"/>
  </sheets>
  <definedNames>
    <definedName name="_xlnm._FilterDatabase" localSheetId="1" hidden="1">'Features'!$A$1:$I$30</definedName>
    <definedName name="_xlnm._FilterDatabase" localSheetId="2" hidden="1">'Test Cases'!$A$1:$N$12</definedName>
    <definedName name="_xlnm._FilterDatabase" localSheetId="3" hidden="1">'Traceability'!$A$1:$P$30</definedName>
    <definedName name="_xlnm._FilterDatabase" localSheetId="4" hidden="1">'Coverage'!$A$3:$H$9</definedName>
    <definedName name="_xlnm._FilterDatabase" localSheetId="5" hidden="1">'Checkers'!$A$1:$G$24</definedName>
    <definedName name="_xlnm._FilterDatabase" localSheetId="6" hidden="1">'Findings'!$A$1:$J$10</definedName>
    <definedName name="_xlnm._FilterDatabase" localSheetId="7" hidden="1">'Regression'!$A$3:$H$14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164" fontId="2" fillId="0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center" vertical="top" wrapText="1"/>
    </xf>
    <xf numFmtId="164" fontId="3" fillId="0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90"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14" customWidth="1" min="3" max="3"/>
    <col width="14" customWidth="1" min="4" max="4"/>
  </cols>
  <sheetData>
    <row r="1">
      <c r="A1" s="1" t="inlineStr">
        <is>
          <t>openPCIE Root Complex — Tier 1 Verification Tracker</t>
        </is>
      </c>
    </row>
    <row r="3">
      <c r="A3" s="2" t="inlineStr">
        <is>
          <t>Document</t>
        </is>
      </c>
      <c r="B3" s="3" t="inlineStr">
        <is>
          <t>TP-OPENPCIE-T1 (tracking workbook)</t>
        </is>
      </c>
    </row>
    <row r="4">
      <c r="A4" s="2" t="inlineStr">
        <is>
          <t>Version</t>
        </is>
      </c>
      <c r="B4" s="3" t="inlineStr">
        <is>
          <t>1.0</t>
        </is>
      </c>
    </row>
    <row r="5">
      <c r="A5" s="2" t="inlineStr">
        <is>
          <t>Date</t>
        </is>
      </c>
      <c r="B5" s="3" t="inlineStr">
        <is>
          <t>2026-10-20</t>
        </is>
      </c>
    </row>
    <row r="6">
      <c r="A6" s="2" t="inlineStr">
        <is>
          <t>DUT</t>
        </is>
      </c>
      <c r="B6" s="3" t="inlineStr">
        <is>
          <t>riscv_pcie_soc (openPCIE 6e48e11, rtl/openPCIE)</t>
        </is>
      </c>
    </row>
    <row r="7">
      <c r="A7" s="2" t="inlineStr">
        <is>
          <t>Plans</t>
        </is>
      </c>
      <c r="B7" s="3" t="inlineStr">
        <is>
          <t>docs/verification_plan.md, docs/testplan.md</t>
        </is>
      </c>
    </row>
    <row r="8">
      <c r="A8" s="2" t="inlineStr">
        <is>
          <t>Simulator</t>
        </is>
      </c>
      <c r="B8" s="3" t="inlineStr">
        <is>
          <t>Vivado 2026.1 xsim</t>
        </is>
      </c>
    </row>
    <row r="10">
      <c r="A10" s="4" t="inlineStr">
        <is>
          <t>Metric</t>
        </is>
      </c>
      <c r="B10" s="4" t="inlineStr">
        <is>
          <t>Value</t>
        </is>
      </c>
    </row>
    <row r="11">
      <c r="A11" s="5" t="inlineStr">
        <is>
          <t>Requirements</t>
        </is>
      </c>
      <c r="B11" s="6">
        <f>COUNTA(Features!$A$2:$A$30)</f>
        <v/>
      </c>
    </row>
    <row r="12">
      <c r="A12" s="7" t="inlineStr">
        <is>
          <t xml:space="preserve">  P1 requirements</t>
        </is>
      </c>
      <c r="B12" s="6">
        <f>COUNTIF(Features!$C$2:$C$30,"P1")</f>
        <v/>
      </c>
    </row>
    <row r="13">
      <c r="A13" s="7" t="inlineStr">
        <is>
          <t xml:space="preserve">  Verified</t>
        </is>
      </c>
      <c r="B13" s="6">
        <f>COUNTIF(Features!$H$2:$H$30,"Verified")</f>
        <v/>
      </c>
    </row>
    <row r="14">
      <c r="A14" s="7" t="inlineStr">
        <is>
          <t xml:space="preserve">  Fail (expected, traced to a finding)</t>
        </is>
      </c>
      <c r="B14" s="6">
        <f>COUNTIF(Features!$H$2:$H$30,"Fail (expected)")</f>
        <v/>
      </c>
    </row>
    <row r="15">
      <c r="A15" s="7" t="inlineStr">
        <is>
          <t xml:space="preserve">  Partial / Open / Not run</t>
        </is>
      </c>
      <c r="B15" s="6">
        <f>COUNTIF(Features!$H$2:$H$30,"Partial")+COUNTIF(Features!$H$2:$H$30,"Open")+COUNTIF(Features!$H$2:$H$30,"Not run")</f>
        <v/>
      </c>
    </row>
    <row r="16">
      <c r="A16" s="7" t="inlineStr">
        <is>
          <t xml:space="preserve">  Requirements covered by a test</t>
        </is>
      </c>
      <c r="B16" s="6">
        <f>COUNTIF(Traceability!$P$2:$P$30,"Yes")</f>
        <v/>
      </c>
    </row>
    <row r="17">
      <c r="A17" s="5" t="inlineStr">
        <is>
          <t>Test cases</t>
        </is>
      </c>
      <c r="B17" s="6">
        <f>COUNTA('Test Cases'!$A$2:$A$12)</f>
        <v/>
      </c>
    </row>
    <row r="18">
      <c r="A18" s="7" t="inlineStr">
        <is>
          <t xml:space="preserve">  Passing with fixes</t>
        </is>
      </c>
      <c r="B18" s="6">
        <f>COUNTIF('Test Cases'!$L$2:$L$12,"Pass")</f>
        <v/>
      </c>
    </row>
    <row r="19">
      <c r="A19" s="7" t="inlineStr">
        <is>
          <t xml:space="preserve">  Passing on RTL as written</t>
        </is>
      </c>
      <c r="B19" s="6">
        <f>COUNTIF('Test Cases'!$K$2:$K$12,"Pass")</f>
        <v/>
      </c>
    </row>
    <row r="20">
      <c r="A20" s="5" t="inlineStr">
        <is>
          <t>Regression runs</t>
        </is>
      </c>
      <c r="B20" s="6">
        <f>Regression!C15</f>
        <v/>
      </c>
    </row>
    <row r="21">
      <c r="A21" s="7" t="inlineStr">
        <is>
          <t xml:space="preserve">  Pass rate, RTL as written</t>
        </is>
      </c>
      <c r="B21" s="8">
        <f>Regression!D16</f>
        <v/>
      </c>
    </row>
    <row r="22">
      <c r="A22" s="7" t="inlineStr">
        <is>
          <t xml:space="preserve">  Pass rate, with fixes</t>
        </is>
      </c>
      <c r="B22" s="8">
        <f>Regression!F16</f>
        <v/>
      </c>
    </row>
    <row r="23">
      <c r="A23" s="5" t="inlineStr">
        <is>
          <t>Functional coverage (weighted)</t>
        </is>
      </c>
      <c r="B23" s="8">
        <f>Coverage!F10</f>
        <v/>
      </c>
    </row>
    <row r="24">
      <c r="A24" s="5" t="inlineStr">
        <is>
          <t>Assertion cover points hit (not collected on xsim)</t>
        </is>
      </c>
      <c r="B24" s="6">
        <f>COUNTIF(Coverage!$D$15:$D$28,"Met")&amp;" / 14"</f>
        <v/>
      </c>
    </row>
    <row r="25">
      <c r="A25" s="5" t="inlineStr">
        <is>
          <t>Open findings</t>
        </is>
      </c>
      <c r="B25" s="6">
        <f>COUNTIF(Findings!$H$2:$H$10,"Open")</f>
        <v/>
      </c>
    </row>
    <row r="27">
      <c r="A27" s="2" t="inlineStr">
        <is>
          <t>How to use this workbook</t>
        </is>
      </c>
    </row>
    <row r="28" ht="28" customHeight="1">
      <c r="A28" s="9" t="inlineStr">
        <is>
          <t>Cells with a light-yellow fill are inputs: statuses, results, coverage hits, owners and comments. Everything else is reference data or a formula.</t>
        </is>
      </c>
      <c r="F28" s="10" t="inlineStr">
        <is>
          <t>Input cell</t>
        </is>
      </c>
    </row>
    <row r="29" ht="28" customHeight="1">
      <c r="A29" s="9" t="inlineStr">
        <is>
          <t>Status columns use drop-down lists; the Summary sheet recalculates from them.</t>
        </is>
      </c>
    </row>
    <row r="30" ht="28" customHeight="1">
      <c r="A30" s="9" t="inlineStr">
        <is>
          <t>Example: after a nightly run, enter the pass counts in Regression!D and F and the assertion cover hits in Coverage!C; the Summary updates.</t>
        </is>
      </c>
    </row>
    <row r="31" ht="28" customHeight="1">
      <c r="A31" s="9" t="inlineStr">
        <is>
          <t>Requirement IDs match docs/verification_plan.md §6, and test IDs match docs/testplan.md §4.</t>
        </is>
      </c>
    </row>
  </sheetData>
  <mergeCells count="4">
    <mergeCell ref="A29:D29"/>
    <mergeCell ref="A28:D28"/>
    <mergeCell ref="A31:D31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9" customWidth="1" min="3" max="3"/>
    <col width="22" customWidth="1" min="4" max="4"/>
    <col width="28" customWidth="1" min="5" max="5"/>
    <col width="30" customWidth="1" min="6" max="6"/>
    <col width="22" customWidth="1" min="7" max="7"/>
    <col width="16" customWidth="1" min="8" max="8"/>
    <col width="44" customWidth="1" min="9" max="9"/>
  </cols>
  <sheetData>
    <row r="1">
      <c r="A1" s="11" t="inlineStr">
        <is>
          <t>Req ID</t>
        </is>
      </c>
      <c r="B1" s="11" t="inlineStr">
        <is>
          <t>Requirement</t>
        </is>
      </c>
      <c r="C1" s="11" t="inlineStr">
        <is>
          <t>Priority</t>
        </is>
      </c>
      <c r="D1" s="11" t="inlineStr">
        <is>
          <t>RTL / spec reference</t>
        </is>
      </c>
      <c r="E1" s="11" t="inlineStr">
        <is>
          <t>Check mechanism</t>
        </is>
      </c>
      <c r="F1" s="11" t="inlineStr">
        <is>
          <t>Coverage item</t>
        </is>
      </c>
      <c r="G1" s="11" t="inlineStr">
        <is>
          <t>Test case(s)</t>
        </is>
      </c>
      <c r="H1" s="11" t="inlineStr">
        <is>
          <t>Status</t>
        </is>
      </c>
      <c r="I1" s="11" t="inlineStr">
        <is>
          <t>Notes</t>
        </is>
      </c>
    </row>
    <row r="2">
      <c r="A2" s="12" t="inlineStr">
        <is>
          <t>SMOKE-001</t>
        </is>
      </c>
      <c r="B2" s="12" t="inlineStr">
        <is>
          <t>Firmware boots, mailbox handshake completes, one TLP traverses TX</t>
        </is>
      </c>
      <c r="C2" s="13" t="inlineStr">
        <is>
          <t>P1</t>
        </is>
      </c>
      <c r="D2" s="12" t="inlineStr">
        <is>
          <t>—</t>
        </is>
      </c>
      <c r="E2" s="12" t="inlineStr">
        <is>
          <t>Boot magic; scoreboard</t>
        </is>
      </c>
      <c r="F2" s="12" t="inlineStr">
        <is>
          <t>—</t>
        </is>
      </c>
      <c r="G2" s="12" t="inlineStr">
        <is>
          <t>TC-01</t>
        </is>
      </c>
      <c r="H2" s="14" t="inlineStr">
        <is>
          <t>Verified</t>
        </is>
      </c>
      <c r="I2" s="15" t="inlineStr"/>
    </row>
    <row r="3">
      <c r="A3" s="12" t="inlineStr">
        <is>
          <t>TX-FMT-001</t>
        </is>
      </c>
      <c r="B3" s="12" t="inlineStr">
        <is>
          <t>3-DW header + 1 payload DW → 2 beats, final tkeep=0xFF</t>
        </is>
      </c>
      <c r="C3" s="13" t="inlineStr">
        <is>
          <t>P1</t>
        </is>
      </c>
      <c r="D3" s="12" t="inlineStr">
        <is>
          <t>riscv_pcie_soc.sv:195-211</t>
        </is>
      </c>
      <c r="E3" s="12" t="inlineStr">
        <is>
          <t>Predictor/scoreboard; SOC-003</t>
        </is>
      </c>
      <c r="F3" s="12" t="inlineStr">
        <is>
          <t>x_fmt_keep.ok_data_full</t>
        </is>
      </c>
      <c r="G3" s="12" t="inlineStr">
        <is>
          <t>TC-01, TC-02, TC-03</t>
        </is>
      </c>
      <c r="H3" s="14" t="inlineStr">
        <is>
          <t>Verified</t>
        </is>
      </c>
      <c r="I3" s="15" t="inlineStr"/>
    </row>
    <row r="4">
      <c r="A4" s="12" t="inlineStr">
        <is>
          <t>TX-FMT-002</t>
        </is>
      </c>
      <c r="B4" s="12" t="inlineStr">
        <is>
          <t>3-DW header, no payload (Fmt[1]=0) → final tkeep=0x0F</t>
        </is>
      </c>
      <c r="C4" s="13" t="inlineStr">
        <is>
          <t>P1</t>
        </is>
      </c>
      <c r="D4" s="12" t="inlineStr">
        <is>
          <t>:204</t>
        </is>
      </c>
      <c r="E4" s="12" t="inlineStr">
        <is>
          <t>Predictor/scoreboard; SOC-003</t>
        </is>
      </c>
      <c r="F4" s="12" t="inlineStr">
        <is>
          <t>x_fmt_keep.ok_nodata_partial</t>
        </is>
      </c>
      <c r="G4" s="12" t="inlineStr">
        <is>
          <t>TC-02, TC-03</t>
        </is>
      </c>
      <c r="H4" s="14" t="inlineStr">
        <is>
          <t>Verified</t>
        </is>
      </c>
      <c r="I4" s="15" t="inlineStr"/>
    </row>
    <row r="5">
      <c r="A5" s="12" t="inlineStr">
        <is>
          <t>TX-FMT-003</t>
        </is>
      </c>
      <c r="B5" s="12" t="inlineStr">
        <is>
          <t>First beat always tkeep=0xFF, tlast=0</t>
        </is>
      </c>
      <c r="C5" s="13" t="inlineStr">
        <is>
          <t>P1</t>
        </is>
      </c>
      <c r="D5" s="12" t="inlineStr">
        <is>
          <t>:197-199</t>
        </is>
      </c>
      <c r="E5" s="12" t="inlineStr">
        <is>
          <t>SOC-004, SOC-002</t>
        </is>
      </c>
      <c r="F5" s="12" t="inlineStr">
        <is>
          <t>cg_packet_t1</t>
        </is>
      </c>
      <c r="G5" s="12" t="inlineStr">
        <is>
          <t>All TX tests</t>
        </is>
      </c>
      <c r="H5" s="14" t="inlineStr">
        <is>
          <t>Verified</t>
        </is>
      </c>
      <c r="I5" s="15" t="inlineStr"/>
    </row>
    <row r="6">
      <c r="A6" s="12" t="inlineStr">
        <is>
          <t>TX-DATA-001</t>
        </is>
      </c>
      <c r="B6" s="12" t="inlineStr">
        <is>
          <t>Beat 0 = {HDR1,HDR0}, beat 1 = {DATA,HDR2}; no bit stuck, swapped or dropped</t>
        </is>
      </c>
      <c r="C6" s="13" t="inlineStr">
        <is>
          <t>P1</t>
        </is>
      </c>
      <c r="D6" s="12" t="inlineStr">
        <is>
          <t>:196,203</t>
        </is>
      </c>
      <c r="E6" s="12" t="inlineStr">
        <is>
          <t>Scoreboard</t>
        </is>
      </c>
      <c r="F6" s="12" t="inlineStr">
        <is>
          <t>—</t>
        </is>
      </c>
      <c r="G6" s="12" t="inlineStr">
        <is>
          <t>TC-02</t>
        </is>
      </c>
      <c r="H6" s="14" t="inlineStr">
        <is>
          <t>Verified</t>
        </is>
      </c>
      <c r="I6" s="15" t="inlineStr"/>
    </row>
    <row r="7">
      <c r="A7" s="12" t="inlineStr">
        <is>
          <t>TX-RAND-001</t>
        </is>
      </c>
      <c r="B7" s="12" t="inlineStr">
        <is>
          <t>All Tier 1 TLP kinds (MEM, IO, CFG0, CFG1, CPL) and Lengths 1–1024 framed correctly</t>
        </is>
      </c>
      <c r="C7" s="13" t="inlineStr">
        <is>
          <t>P1</t>
        </is>
      </c>
      <c r="D7" s="12" t="inlineStr">
        <is>
          <t>:195-211</t>
        </is>
      </c>
      <c r="E7" s="12" t="inlineStr">
        <is>
          <t>Scoreboard</t>
        </is>
      </c>
      <c r="F7" s="12" t="inlineStr">
        <is>
          <t>cg_tlp.cp_type, cp_len, x_type_fmt</t>
        </is>
      </c>
      <c r="G7" s="12" t="inlineStr">
        <is>
          <t>TC-03</t>
        </is>
      </c>
      <c r="H7" s="14" t="inlineStr">
        <is>
          <t>Verified</t>
        </is>
      </c>
      <c r="I7" s="15" t="inlineStr"/>
    </row>
    <row r="8">
      <c r="A8" s="12" t="inlineStr">
        <is>
          <t>TX-TRIG-001</t>
        </is>
      </c>
      <c r="B8" s="12" t="inlineStr">
        <is>
          <t>Only a write to TX_DATA starts a transmit; header writes are inert</t>
        </is>
      </c>
      <c r="C8" s="13" t="inlineStr">
        <is>
          <t>P1</t>
        </is>
      </c>
      <c r="D8" s="12" t="inlineStr">
        <is>
          <t>:180-185</t>
        </is>
      </c>
      <c r="E8" s="12" t="inlineStr">
        <is>
          <t>Predictor; build_fw.py model</t>
        </is>
      </c>
      <c r="F8" s="12" t="inlineStr">
        <is>
          <t>—</t>
        </is>
      </c>
      <c r="G8" s="12" t="inlineStr">
        <is>
          <t>TC-08</t>
        </is>
      </c>
      <c r="H8" s="14" t="inlineStr">
        <is>
          <t>Verified</t>
        </is>
      </c>
      <c r="I8" s="15" t="inlineStr"/>
    </row>
    <row r="9">
      <c r="A9" s="12" t="inlineStr">
        <is>
          <t>TX-TRIG-002</t>
        </is>
      </c>
      <c r="B9" s="12" t="inlineStr">
        <is>
          <t>Header registers are sticky across transmits</t>
        </is>
      </c>
      <c r="C9" s="13" t="inlineStr">
        <is>
          <t>P2</t>
        </is>
      </c>
      <c r="D9" s="12" t="inlineStr">
        <is>
          <t>:177-179</t>
        </is>
      </c>
      <c r="E9" s="12" t="inlineStr">
        <is>
          <t>Scoreboard</t>
        </is>
      </c>
      <c r="F9" s="12" t="inlineStr">
        <is>
          <t>—</t>
        </is>
      </c>
      <c r="G9" s="12" t="inlineStr">
        <is>
          <t>TC-08</t>
        </is>
      </c>
      <c r="H9" s="14" t="inlineStr">
        <is>
          <t>Verified</t>
        </is>
      </c>
      <c r="I9" s="15" t="inlineStr"/>
    </row>
    <row r="10">
      <c r="A10" s="12" t="inlineStr">
        <is>
          <t>TX-PROTO-001</t>
        </is>
      </c>
      <c r="B10" s="12" t="inlineStr">
        <is>
          <t>tvalid held until tready</t>
        </is>
      </c>
      <c r="C10" s="13" t="inlineStr">
        <is>
          <t>P1</t>
        </is>
      </c>
      <c r="D10" s="12" t="inlineStr">
        <is>
          <t>AXI4-Stream §2.2.1</t>
        </is>
      </c>
      <c r="E10" s="12" t="inlineStr">
        <is>
          <t>AXIS-001</t>
        </is>
      </c>
      <c r="F10" s="12" t="inlineStr">
        <is>
          <t>c_stall*</t>
        </is>
      </c>
      <c r="G10" s="12" t="inlineStr">
        <is>
          <t>All TX tests</t>
        </is>
      </c>
      <c r="H10" s="14" t="inlineStr">
        <is>
          <t>Verified</t>
        </is>
      </c>
      <c r="I10" s="15" t="inlineStr"/>
    </row>
    <row r="11">
      <c r="A11" s="12" t="inlineStr">
        <is>
          <t>TX-PROTO-002</t>
        </is>
      </c>
      <c r="B11" s="12" t="inlineStr">
        <is>
          <t>Payload stable while stalled</t>
        </is>
      </c>
      <c r="C11" s="13" t="inlineStr">
        <is>
          <t>P1</t>
        </is>
      </c>
      <c r="D11" s="12" t="inlineStr">
        <is>
          <t>AXI4-Stream §2.2.1</t>
        </is>
      </c>
      <c r="E11" s="12" t="inlineStr">
        <is>
          <t>AXIS-002, monitor</t>
        </is>
      </c>
      <c r="F11" s="12" t="inlineStr">
        <is>
          <t>c_stall_on_first/last</t>
        </is>
      </c>
      <c r="G11" s="12" t="inlineStr">
        <is>
          <t>TC-04, TC-05, TC-06, TC-11</t>
        </is>
      </c>
      <c r="H11" s="14" t="inlineStr">
        <is>
          <t>Verified</t>
        </is>
      </c>
      <c r="I11" s="15" t="inlineStr"/>
    </row>
    <row r="12">
      <c r="A12" s="12" t="inlineStr">
        <is>
          <t>TX-PROTO-003</t>
        </is>
      </c>
      <c r="B12" s="12" t="inlineStr">
        <is>
          <t>tkeep contiguous; partial only on tlast</t>
        </is>
      </c>
      <c r="C12" s="13" t="inlineStr">
        <is>
          <t>P1</t>
        </is>
      </c>
      <c r="D12" s="12" t="inlineStr">
        <is>
          <t>AXI4-Stream Table 2-2</t>
        </is>
      </c>
      <c r="E12" s="12" t="inlineStr">
        <is>
          <t>AXIS-004/005</t>
        </is>
      </c>
      <c r="F12" s="12" t="inlineStr">
        <is>
          <t>cg_packet_t1</t>
        </is>
      </c>
      <c r="G12" s="12" t="inlineStr">
        <is>
          <t>All TX tests</t>
        </is>
      </c>
      <c r="H12" s="14" t="inlineStr">
        <is>
          <t>Verified</t>
        </is>
      </c>
      <c r="I12" s="15" t="inlineStr"/>
    </row>
    <row r="13">
      <c r="A13" s="12" t="inlineStr">
        <is>
          <t>TX-PROTO-004</t>
        </is>
      </c>
      <c r="B13" s="12" t="inlineStr">
        <is>
          <t>Transmit survives backpressure without losing a beat</t>
        </is>
      </c>
      <c r="C13" s="13" t="inlineStr">
        <is>
          <t>P1</t>
        </is>
      </c>
      <c r="D13" s="12" t="inlineStr">
        <is>
          <t>:200,208</t>
        </is>
      </c>
      <c r="E13" s="12" t="inlineStr">
        <is>
          <t>AXIS-002 + scoreboard</t>
        </is>
      </c>
      <c r="F13" s="12" t="inlineStr">
        <is>
          <t>c_tx_stall_in_c1/c2</t>
        </is>
      </c>
      <c r="G13" s="12" t="inlineStr">
        <is>
          <t>TC-04, TC-05, TC-06, TC-11</t>
        </is>
      </c>
      <c r="H13" s="14" t="inlineStr">
        <is>
          <t>Fail (expected)</t>
        </is>
      </c>
      <c r="I13" s="15" t="inlineStr">
        <is>
          <t>Fails on RTL as written; passes with fix 0002 (finding TX-PROTO-004)</t>
        </is>
      </c>
    </row>
    <row r="14">
      <c r="A14" s="12" t="inlineStr">
        <is>
          <t>TX-FLOW-001</t>
        </is>
      </c>
      <c r="B14" s="12" t="inlineStr">
        <is>
          <t>Behaviour with tx_buf_av = 0 documented (DUT does not gate on credits)</t>
        </is>
      </c>
      <c r="C14" s="13" t="inlineStr">
        <is>
          <t>P3</t>
        </is>
      </c>
      <c r="D14" s="12" t="inlineStr">
        <is>
          <t>:153</t>
        </is>
      </c>
      <c r="E14" s="12" t="inlineStr">
        <is>
          <t>Directed readback</t>
        </is>
      </c>
      <c r="F14" s="12" t="inlineStr">
        <is>
          <t>c_tx_while_no_credit, cp_tx_buf_av.empty</t>
        </is>
      </c>
      <c r="G14" s="12" t="inlineStr">
        <is>
          <t>TC-09</t>
        </is>
      </c>
      <c r="H14" s="14" t="inlineStr">
        <is>
          <t>Verified</t>
        </is>
      </c>
      <c r="I14" s="15" t="inlineStr"/>
    </row>
    <row r="15">
      <c r="A15" s="12" t="inlineStr">
        <is>
          <t>TX-FLOW-002</t>
        </is>
      </c>
      <c r="B15" s="12" t="inlineStr">
        <is>
          <t>Software must poll tx_state==IDLE before each send (no HW interlock)</t>
        </is>
      </c>
      <c r="C15" s="13" t="inlineStr">
        <is>
          <t>P3</t>
        </is>
      </c>
      <c r="D15" s="12" t="inlineStr">
        <is>
          <t>:180-185</t>
        </is>
      </c>
      <c r="E15" s="12" t="inlineStr">
        <is>
          <t>Documented contract</t>
        </is>
      </c>
      <c r="F15" s="12" t="inlineStr">
        <is>
          <t>—</t>
        </is>
      </c>
      <c r="G15" s="12" t="inlineStr">
        <is>
          <t>—</t>
        </is>
      </c>
      <c r="H15" s="14" t="inlineStr">
        <is>
          <t>Verified</t>
        </is>
      </c>
      <c r="I15" s="15" t="inlineStr">
        <is>
          <t>Documented software contract; no test</t>
        </is>
      </c>
    </row>
    <row r="16">
      <c r="A16" s="12" t="inlineStr">
        <is>
          <t>RX-CAP-001</t>
        </is>
      </c>
      <c r="B16" s="12" t="inlineStr">
        <is>
          <t>Completion status captured from tdata[47:45]</t>
        </is>
      </c>
      <c r="C16" s="13" t="inlineStr">
        <is>
          <t>P1</t>
        </is>
      </c>
      <c r="D16" s="12" t="inlineStr">
        <is>
          <t>:217-219</t>
        </is>
      </c>
      <c r="E16" s="12" t="inlineStr">
        <is>
          <t>Readback vs predictor</t>
        </is>
      </c>
      <c r="F16" s="12" t="inlineStr">
        <is>
          <t>cg_reg_access</t>
        </is>
      </c>
      <c r="G16" s="12" t="inlineStr">
        <is>
          <t>TC-07</t>
        </is>
      </c>
      <c r="H16" s="14" t="inlineStr">
        <is>
          <t>Verified</t>
        </is>
      </c>
      <c r="I16" s="15" t="inlineStr"/>
    </row>
    <row r="17">
      <c r="A17" s="12" t="inlineStr">
        <is>
          <t>RX-CAP-002</t>
        </is>
      </c>
      <c r="B17" s="12" t="inlineStr">
        <is>
          <t>Phase 1 captures DW2 → RX_HDR_INFO, DW3 → RX_DATA</t>
        </is>
      </c>
      <c r="C17" s="13" t="inlineStr">
        <is>
          <t>P1</t>
        </is>
      </c>
      <c r="D17" s="12" t="inlineStr">
        <is>
          <t>:223-224</t>
        </is>
      </c>
      <c r="E17" s="12" t="inlineStr">
        <is>
          <t>Readback vs predictor</t>
        </is>
      </c>
      <c r="F17" s="12" t="inlineStr">
        <is>
          <t>cg_reg_access</t>
        </is>
      </c>
      <c r="G17" s="12" t="inlineStr">
        <is>
          <t>TC-07</t>
        </is>
      </c>
      <c r="H17" s="14" t="inlineStr">
        <is>
          <t>Verified</t>
        </is>
      </c>
      <c r="I17" s="15" t="inlineStr"/>
    </row>
    <row r="18">
      <c r="A18" s="12" t="inlineStr">
        <is>
          <t>RX-CAP-003</t>
        </is>
      </c>
      <c r="B18" s="12" t="inlineStr">
        <is>
          <t>A non-completion inbound TLP leaves capture registers unchanged</t>
        </is>
      </c>
      <c r="C18" s="13" t="inlineStr">
        <is>
          <t>P2</t>
        </is>
      </c>
      <c r="D18" s="12" t="inlineStr">
        <is>
          <t>:217</t>
        </is>
      </c>
      <c r="E18" s="12" t="inlineStr">
        <is>
          <t>Predictor mirrors RTL</t>
        </is>
      </c>
      <c r="F18" s="12" t="inlineStr">
        <is>
          <t>—</t>
        </is>
      </c>
      <c r="G18" s="12" t="inlineStr">
        <is>
          <t>TC-07</t>
        </is>
      </c>
      <c r="H18" s="14" t="inlineStr">
        <is>
          <t>Verified</t>
        </is>
      </c>
      <c r="I18" s="15" t="inlineStr"/>
    </row>
    <row r="19">
      <c r="A19" s="12" t="inlineStr">
        <is>
          <t>RX-CAP-004</t>
        </is>
      </c>
      <c r="B19" s="12" t="inlineStr">
        <is>
          <t>m_axis_rx_tready is tied high</t>
        </is>
      </c>
      <c r="C19" s="13" t="inlineStr">
        <is>
          <t>P2</t>
        </is>
      </c>
      <c r="D19" s="12" t="inlineStr">
        <is>
          <t>:233</t>
        </is>
      </c>
      <c r="E19" s="12" t="inlineStr">
        <is>
          <t>SOC-006</t>
        </is>
      </c>
      <c r="F19" s="12" t="inlineStr">
        <is>
          <t>—</t>
        </is>
      </c>
      <c r="G19" s="12" t="inlineStr">
        <is>
          <t>All</t>
        </is>
      </c>
      <c r="H19" s="14" t="inlineStr">
        <is>
          <t>Verified</t>
        </is>
      </c>
      <c r="I19" s="15" t="inlineStr"/>
    </row>
    <row r="20">
      <c r="A20" s="12" t="inlineStr">
        <is>
          <t>REG-001</t>
        </is>
      </c>
      <c r="B20" s="12" t="inlineStr">
        <is>
          <t>All five readable registers decode correctly</t>
        </is>
      </c>
      <c r="C20" s="13" t="inlineStr">
        <is>
          <t>P1</t>
        </is>
      </c>
      <c r="D20" s="12" t="inlineStr">
        <is>
          <t>:243-249</t>
        </is>
      </c>
      <c r="E20" s="12" t="inlineStr">
        <is>
          <t>RAL + scoreboard</t>
        </is>
      </c>
      <c r="F20" s="12" t="inlineStr">
        <is>
          <t>x_offset_dir</t>
        </is>
      </c>
      <c r="G20" s="12" t="inlineStr">
        <is>
          <t>TC-08</t>
        </is>
      </c>
      <c r="H20" s="14" t="inlineStr">
        <is>
          <t>Verified</t>
        </is>
      </c>
      <c r="I20" s="15" t="inlineStr"/>
    </row>
    <row r="21">
      <c r="A21" s="12" t="inlineStr">
        <is>
          <t>REG-002</t>
        </is>
      </c>
      <c r="B21" s="12" t="inlineStr">
        <is>
          <t>TX registers are write-only; reads return 0</t>
        </is>
      </c>
      <c r="C21" s="13" t="inlineStr">
        <is>
          <t>P1</t>
        </is>
      </c>
      <c r="D21" s="12" t="inlineStr">
        <is>
          <t>:248</t>
        </is>
      </c>
      <c r="E21" s="12" t="inlineStr">
        <is>
          <t>Directed check</t>
        </is>
      </c>
      <c r="F21" s="12" t="inlineStr">
        <is>
          <t>x_offset_dir</t>
        </is>
      </c>
      <c r="G21" s="12" t="inlineStr">
        <is>
          <t>TC-08</t>
        </is>
      </c>
      <c r="H21" s="14" t="inlineStr">
        <is>
          <t>Verified</t>
        </is>
      </c>
      <c r="I21" s="15" t="inlineStr"/>
    </row>
    <row r="22">
      <c r="A22" s="12" t="inlineStr">
        <is>
          <t>REG-003</t>
        </is>
      </c>
      <c r="B22" s="12" t="inlineStr">
        <is>
          <t>Read decode aliases every 64 bytes</t>
        </is>
      </c>
      <c r="C22" s="13" t="inlineStr">
        <is>
          <t>P3</t>
        </is>
      </c>
      <c r="D22" s="12" t="inlineStr">
        <is>
          <t>:239-249</t>
        </is>
      </c>
      <c r="E22" s="12" t="inlineStr">
        <is>
          <t>Directed alias check</t>
        </is>
      </c>
      <c r="F22" s="12" t="inlineStr">
        <is>
          <t>cp_offset.aliased</t>
        </is>
      </c>
      <c r="G22" s="12" t="inlineStr">
        <is>
          <t>TC-08</t>
        </is>
      </c>
      <c r="H22" s="14" t="inlineStr">
        <is>
          <t>Verified</t>
        </is>
      </c>
      <c r="I22" s="15" t="inlineStr"/>
    </row>
    <row r="23">
      <c r="A23" s="12" t="inlineStr">
        <is>
          <t>REG-004</t>
        </is>
      </c>
      <c r="B23" s="12" t="inlineStr">
        <is>
          <t>A write to a read-only register has no side effect</t>
        </is>
      </c>
      <c r="C23" s="13" t="inlineStr">
        <is>
          <t>P2</t>
        </is>
      </c>
      <c r="D23" s="12" t="inlineStr">
        <is>
          <t>:175</t>
        </is>
      </c>
      <c r="E23" s="12" t="inlineStr">
        <is>
          <t>Scoreboard packet compare</t>
        </is>
      </c>
      <c r="F23" s="12" t="inlineStr">
        <is>
          <t>x_offset_dir</t>
        </is>
      </c>
      <c r="G23" s="12" t="inlineStr">
        <is>
          <t>TC-08</t>
        </is>
      </c>
      <c r="H23" s="14" t="inlineStr">
        <is>
          <t>Fail (expected)</t>
        </is>
      </c>
      <c r="I23" s="15" t="inlineStr">
        <is>
          <t>Alias confirmed on RTL as written; fixed by patch 0003</t>
        </is>
      </c>
    </row>
    <row r="24">
      <c r="A24" s="12" t="inlineStr">
        <is>
          <t>CFG-001</t>
        </is>
      </c>
      <c r="B24" s="12" t="inlineStr">
        <is>
          <t>ERR_STATUS = {err_fatal, cfg_status}</t>
        </is>
      </c>
      <c r="C24" s="13" t="inlineStr">
        <is>
          <t>P1</t>
        </is>
      </c>
      <c r="D24" s="12" t="inlineStr">
        <is>
          <t>:152</t>
        </is>
      </c>
      <c r="E24" s="12" t="inlineStr">
        <is>
          <t>Readback vs predictor</t>
        </is>
      </c>
      <c r="F24" s="12" t="inlineStr">
        <is>
          <t>cg_sideband</t>
        </is>
      </c>
      <c r="G24" s="12" t="inlineStr">
        <is>
          <t>TC-09</t>
        </is>
      </c>
      <c r="H24" s="14" t="inlineStr">
        <is>
          <t>Verified</t>
        </is>
      </c>
      <c r="I24" s="15" t="inlineStr"/>
    </row>
    <row r="25">
      <c r="A25" s="12" t="inlineStr">
        <is>
          <t>CFG-002</t>
        </is>
      </c>
      <c r="B25" s="12" t="inlineStr">
        <is>
          <t>PHY_STATUS[5:0] tracks tx_buf_av</t>
        </is>
      </c>
      <c r="C25" s="13" t="inlineStr">
        <is>
          <t>P1</t>
        </is>
      </c>
      <c r="D25" s="12" t="inlineStr">
        <is>
          <t>:153</t>
        </is>
      </c>
      <c r="E25" s="12" t="inlineStr">
        <is>
          <t>Readback (masked)</t>
        </is>
      </c>
      <c r="F25" s="12" t="inlineStr">
        <is>
          <t>cp_tx_buf_av</t>
        </is>
      </c>
      <c r="G25" s="12" t="inlineStr">
        <is>
          <t>TC-09</t>
        </is>
      </c>
      <c r="H25" s="14" t="inlineStr">
        <is>
          <t>Verified</t>
        </is>
      </c>
      <c r="I25" s="15" t="inlineStr"/>
    </row>
    <row r="26">
      <c r="A26" s="12" t="inlineStr">
        <is>
          <t>CFG-003</t>
        </is>
      </c>
      <c r="B26" s="12" t="inlineStr">
        <is>
          <t>cfg_command has no effect (port unused)</t>
        </is>
      </c>
      <c r="C26" s="13" t="inlineStr">
        <is>
          <t>P3</t>
        </is>
      </c>
      <c r="D26" s="12" t="inlineStr">
        <is>
          <t>:60</t>
        </is>
      </c>
      <c r="E26" s="12" t="inlineStr">
        <is>
          <t>SOC-010</t>
        </is>
      </c>
      <c r="F26" s="12" t="inlineStr">
        <is>
          <t>—</t>
        </is>
      </c>
      <c r="G26" s="12" t="inlineStr">
        <is>
          <t>TC-09</t>
        </is>
      </c>
      <c r="H26" s="14" t="inlineStr">
        <is>
          <t>Verified</t>
        </is>
      </c>
      <c r="I26" s="15" t="inlineStr"/>
    </row>
    <row r="27">
      <c r="A27" s="12" t="inlineStr">
        <is>
          <t>RST-001</t>
        </is>
      </c>
      <c r="B27" s="12" t="inlineStr">
        <is>
          <t>Reset clears the RX capture registers and the TX FSM</t>
        </is>
      </c>
      <c r="C27" s="13" t="inlineStr">
        <is>
          <t>P1</t>
        </is>
      </c>
      <c r="D27" s="12" t="inlineStr">
        <is>
          <t>:157-167</t>
        </is>
      </c>
      <c r="E27" s="12" t="inlineStr">
        <is>
          <t>Directed readback</t>
        </is>
      </c>
      <c r="F27" s="12" t="inlineStr">
        <is>
          <t>—</t>
        </is>
      </c>
      <c r="G27" s="12" t="inlineStr">
        <is>
          <t>TC-10</t>
        </is>
      </c>
      <c r="H27" s="14" t="inlineStr">
        <is>
          <t>Verified</t>
        </is>
      </c>
      <c r="I27" s="15" t="inlineStr"/>
    </row>
    <row r="28">
      <c r="A28" s="12" t="inlineStr">
        <is>
          <t>RST-002</t>
        </is>
      </c>
      <c r="B28" s="12" t="inlineStr">
        <is>
          <t>CPU re-boots and the datapath works after reset</t>
        </is>
      </c>
      <c r="C28" s="13" t="inlineStr">
        <is>
          <t>P1</t>
        </is>
      </c>
      <c r="D28" s="12" t="inlineStr">
        <is>
          <t>—</t>
        </is>
      </c>
      <c r="E28" s="12" t="inlineStr">
        <is>
          <t>Re-boot handshake + traffic</t>
        </is>
      </c>
      <c r="F28" s="12" t="inlineStr">
        <is>
          <t>—</t>
        </is>
      </c>
      <c r="G28" s="12" t="inlineStr">
        <is>
          <t>TC-10</t>
        </is>
      </c>
      <c r="H28" s="14" t="inlineStr">
        <is>
          <t>Verified</t>
        </is>
      </c>
      <c r="I28" s="15" t="inlineStr"/>
    </row>
    <row r="29">
      <c r="A29" s="12" t="inlineStr">
        <is>
          <t>CPU-001</t>
        </is>
      </c>
      <c r="B29" s="12" t="inlineStr">
        <is>
          <t>PicoRV32 bus handshake is honoured by the bridge</t>
        </is>
      </c>
      <c r="C29" s="13" t="inlineStr">
        <is>
          <t>P2</t>
        </is>
      </c>
      <c r="D29" s="12" t="inlineStr">
        <is>
          <t>:172-173,256</t>
        </is>
      </c>
      <c r="E29" s="12" t="inlineStr">
        <is>
          <t>SOC-008/009/011</t>
        </is>
      </c>
      <c r="F29" s="12" t="inlineStr">
        <is>
          <t>—</t>
        </is>
      </c>
      <c r="G29" s="12" t="inlineStr">
        <is>
          <t>All</t>
        </is>
      </c>
      <c r="H29" s="14" t="inlineStr">
        <is>
          <t>Verified</t>
        </is>
      </c>
      <c r="I29" s="15" t="inlineStr"/>
    </row>
    <row r="30">
      <c r="A30" s="12" t="inlineStr">
        <is>
          <t>MIX-001</t>
        </is>
      </c>
      <c r="B30" s="12" t="inlineStr">
        <is>
          <t>Sustained mixed traffic under random backpressure</t>
        </is>
      </c>
      <c r="C30" s="13" t="inlineStr">
        <is>
          <t>P1</t>
        </is>
      </c>
      <c r="D30" s="12" t="inlineStr">
        <is>
          <t>—</t>
        </is>
      </c>
      <c r="E30" s="12" t="inlineStr">
        <is>
          <t>Full environment</t>
        </is>
      </c>
      <c r="F30" s="12" t="inlineStr">
        <is>
          <t>All groups</t>
        </is>
      </c>
      <c r="G30" s="12" t="inlineStr">
        <is>
          <t>TC-11</t>
        </is>
      </c>
      <c r="H30" s="14" t="inlineStr">
        <is>
          <t>Verified</t>
        </is>
      </c>
      <c r="I30" s="15" t="inlineStr"/>
    </row>
  </sheetData>
  <autoFilter ref="A1:I30"/>
  <conditionalFormatting sqref="H2:H3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"Fail (expected)"</formula>
    </cfRule>
    <cfRule type="cellIs" priority="4" operator="equal" dxfId="2">
      <formula>"Partial"</formula>
    </cfRule>
    <cfRule type="cellIs" priority="5" operator="equal" dxfId="2">
      <formula>"Open"</formula>
    </cfRule>
    <cfRule type="cellIs" priority="6" operator="equal" dxfId="2">
      <formula>"Not run"</formula>
    </cfRule>
    <cfRule type="cellIs" priority="7" operator="equal" dxfId="0">
      <formula>"Met"</formula>
    </cfRule>
    <cfRule type="cellIs" priority="8" operator="equal" dxfId="0">
      <formula>"Verified"</formula>
    </cfRule>
    <cfRule type="cellIs" priority="9" operator="equal" dxfId="0">
      <formula>"Closed"</formula>
    </cfRule>
    <cfRule type="cellIs" priority="10" operator="equal" dxfId="0">
      <formula>"Fixed"</formula>
    </cfRule>
  </conditionalFormatting>
  <dataValidations count="2">
    <dataValidation sqref="H2:H30" showDropDown="0" showInputMessage="0" showErrorMessage="0" allowBlank="1" type="list">
      <formula1>"Verified,Fail (expected),Partial,Open,Not run"</formula1>
    </dataValidation>
    <dataValidation sqref="C2:C30" showDropDown="0" showInputMessage="0" showErrorMessage="0" allowBlank="0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7" customWidth="1" min="4" max="4"/>
    <col width="9" customWidth="1" min="5" max="5"/>
    <col width="22" customWidth="1" min="6" max="6"/>
    <col width="9" customWidth="1" min="7" max="7"/>
    <col width="24" customWidth="1" min="8" max="8"/>
    <col width="50" customWidth="1" min="9" max="9"/>
    <col width="46" customWidth="1" min="10" max="10"/>
    <col width="16" customWidth="1" min="11" max="11"/>
    <col width="14" customWidth="1" min="12" max="12"/>
    <col width="12" customWidth="1" min="13" max="13"/>
    <col width="30" customWidth="1" min="14" max="14"/>
  </cols>
  <sheetData>
    <row r="1">
      <c r="A1" s="11" t="inlineStr">
        <is>
          <t>TC ID</t>
        </is>
      </c>
      <c r="B1" s="11" t="inlineStr">
        <is>
          <t>UVM test</t>
        </is>
      </c>
      <c r="C1" s="11" t="inlineStr">
        <is>
          <t>Virtual sequence</t>
        </is>
      </c>
      <c r="D1" s="11" t="inlineStr">
        <is>
          <t>Type</t>
        </is>
      </c>
      <c r="E1" s="11" t="inlineStr">
        <is>
          <t>Priority</t>
        </is>
      </c>
      <c r="F1" s="11" t="inlineStr">
        <is>
          <t>Sink profile / config</t>
        </is>
      </c>
      <c r="G1" s="11" t="inlineStr">
        <is>
          <t>Timeout</t>
        </is>
      </c>
      <c r="H1" s="11" t="inlineStr">
        <is>
          <t>Requirements</t>
        </is>
      </c>
      <c r="I1" s="11" t="inlineStr">
        <is>
          <t>Stimulus</t>
        </is>
      </c>
      <c r="J1" s="11" t="inlineStr">
        <is>
          <t>Checks / expected result</t>
        </is>
      </c>
      <c r="K1" s="11" t="inlineStr">
        <is>
          <t>Result: RTL as written</t>
        </is>
      </c>
      <c r="L1" s="11" t="inlineStr">
        <is>
          <t>Result: with fixes</t>
        </is>
      </c>
      <c r="M1" s="11" t="inlineStr">
        <is>
          <t>Owner</t>
        </is>
      </c>
      <c r="N1" s="11" t="inlineStr">
        <is>
          <t>Comments</t>
        </is>
      </c>
    </row>
    <row r="2">
      <c r="A2" s="13" t="inlineStr">
        <is>
          <t>TC-01</t>
        </is>
      </c>
      <c r="B2" s="12" t="inlineStr">
        <is>
          <t>openpcie_smoke_test</t>
        </is>
      </c>
      <c r="C2" s="12" t="inlineStr">
        <is>
          <t>openpcie_smoke_vseq</t>
        </is>
      </c>
      <c r="D2" s="13" t="inlineStr">
        <is>
          <t>D</t>
        </is>
      </c>
      <c r="E2" s="13" t="inlineStr">
        <is>
          <t>P1</t>
        </is>
      </c>
      <c r="F2" s="12" t="inlineStr">
        <is>
          <t>READY_ALWAYS</t>
        </is>
      </c>
      <c r="G2" s="13" t="inlineStr">
        <is>
          <t>2 ms</t>
        </is>
      </c>
      <c r="H2" s="12" t="inlineStr">
        <is>
          <t>SMOKE-001, TX-FMT-001</t>
        </is>
      </c>
      <c r="I2" s="12" t="inlineStr">
        <is>
          <t>Boot; one MemWr32 @0x1000_0000 (0xCAFE_BABE); sync; read PHY_STATUS, ERR_STATUS</t>
        </is>
      </c>
      <c r="J2" s="12" t="inlineStr">
        <is>
          <t>2-beat packet matched (final tkeep 0xFF); readbacks match predictor; SVA clean</t>
        </is>
      </c>
      <c r="K2" s="14" t="inlineStr">
        <is>
          <t>Pass</t>
        </is>
      </c>
      <c r="L2" s="14" t="inlineStr">
        <is>
          <t>Pass</t>
        </is>
      </c>
      <c r="M2" s="15" t="inlineStr"/>
      <c r="N2" s="15" t="inlineStr"/>
    </row>
    <row r="3">
      <c r="A3" s="13" t="inlineStr">
        <is>
          <t>TC-02</t>
        </is>
      </c>
      <c r="B3" s="12" t="inlineStr">
        <is>
          <t>openpcie_tx_directed_test</t>
        </is>
      </c>
      <c r="C3" s="12" t="inlineStr">
        <is>
          <t>openpcie_tx_directed_vseq</t>
        </is>
      </c>
      <c r="D3" s="13" t="inlineStr">
        <is>
          <t>D</t>
        </is>
      </c>
      <c r="E3" s="13" t="inlineStr">
        <is>
          <t>P1</t>
        </is>
      </c>
      <c r="F3" s="12" t="inlineStr">
        <is>
          <t>READY_ALWAYS</t>
        </is>
      </c>
      <c r="G3" s="13" t="inlineStr">
        <is>
          <t>10 ms</t>
        </is>
      </c>
      <c r="H3" s="12" t="inlineStr">
        <is>
          <t>TX-FMT-001/002/003, TX-DATA-001</t>
        </is>
      </c>
      <c r="I3" s="12" t="inlineStr">
        <is>
          <t>3 MemWr32 (zero, all-ones, mixed); 2 MemRd32; 1 CplD; 32 MemWr32 walking-ones payload</t>
        </is>
      </c>
      <c r="J3" s="12" t="inlineStr">
        <is>
          <t>38 packets matched; tkeep 0xFF with payload, 0x0F without; SOC-003/004</t>
        </is>
      </c>
      <c r="K3" s="14" t="inlineStr">
        <is>
          <t>Pass</t>
        </is>
      </c>
      <c r="L3" s="14" t="inlineStr">
        <is>
          <t>Pass</t>
        </is>
      </c>
      <c r="M3" s="15" t="inlineStr"/>
      <c r="N3" s="15" t="inlineStr"/>
    </row>
    <row r="4">
      <c r="A4" s="13" t="inlineStr">
        <is>
          <t>TC-03</t>
        </is>
      </c>
      <c r="B4" s="12" t="inlineStr">
        <is>
          <t>openpcie_tx_random_test</t>
        </is>
      </c>
      <c r="C4" s="12" t="inlineStr">
        <is>
          <t>openpcie_tx_random_vseq</t>
        </is>
      </c>
      <c r="D4" s="13" t="inlineStr">
        <is>
          <t>CR</t>
        </is>
      </c>
      <c r="E4" s="13" t="inlineStr">
        <is>
          <t>P1</t>
        </is>
      </c>
      <c r="F4" s="12" t="inlineStr">
        <is>
          <t>READY_ALWAYS</t>
        </is>
      </c>
      <c r="G4" s="13" t="inlineStr">
        <is>
          <t>20 ms</t>
        </is>
      </c>
      <c r="H4" s="12" t="inlineStr">
        <is>
          <t>TX-RAND-001, TX-FMT-001/002/003</t>
        </is>
      </c>
      <c r="I4" s="12" t="inlineStr">
        <is>
          <t>20–400 random TLPs: Fmt with/without data; MEM/IO/CFG0/CFG1/CPL; MEM reads Length 1–1024</t>
        </is>
      </c>
      <c r="J4" s="12" t="inlineStr">
        <is>
          <t>Scoreboard packet compare; SVA</t>
        </is>
      </c>
      <c r="K4" s="14" t="inlineStr">
        <is>
          <t>Pass</t>
        </is>
      </c>
      <c r="L4" s="14" t="inlineStr">
        <is>
          <t>Pass</t>
        </is>
      </c>
      <c r="M4" s="15" t="inlineStr"/>
      <c r="N4" s="15" t="inlineStr"/>
    </row>
    <row r="5">
      <c r="A5" s="13" t="inlineStr">
        <is>
          <t>TC-04</t>
        </is>
      </c>
      <c r="B5" s="12" t="inlineStr">
        <is>
          <t>openpcie_tx_backpressure_test</t>
        </is>
      </c>
      <c r="C5" s="12" t="inlineStr">
        <is>
          <t>openpcie_tx_backpressure_vseq</t>
        </is>
      </c>
      <c r="D5" s="13" t="inlineStr">
        <is>
          <t>D/CR</t>
        </is>
      </c>
      <c r="E5" s="13" t="inlineStr">
        <is>
          <t>P1</t>
        </is>
      </c>
      <c r="F5" s="12" t="inlineStr">
        <is>
          <t>READY_RANDOM, 40 %</t>
        </is>
      </c>
      <c r="G5" s="13" t="inlineStr">
        <is>
          <t>20 ms</t>
        </is>
      </c>
      <c r="H5" s="12" t="inlineStr">
        <is>
          <t>TX-PROTO-001/002/004</t>
        </is>
      </c>
      <c r="I5" s="12" t="inlineStr">
        <is>
          <t>30–200 TLPs alternating MemWr32 / MemRd32 under random stalls</t>
        </is>
      </c>
      <c r="J5" s="12" t="inlineStr">
        <is>
          <t>AXIS-001/002, monitor stability, scoreboard; responder confirms stalls</t>
        </is>
      </c>
      <c r="K5" s="14" t="inlineStr">
        <is>
          <t>Fail (expected)</t>
        </is>
      </c>
      <c r="L5" s="14" t="inlineStr">
        <is>
          <t>Pass</t>
        </is>
      </c>
      <c r="M5" s="15" t="inlineStr"/>
      <c r="N5" s="15" t="inlineStr"/>
    </row>
    <row r="6">
      <c r="A6" s="13" t="inlineStr">
        <is>
          <t>TC-05</t>
        </is>
      </c>
      <c r="B6" s="12" t="inlineStr">
        <is>
          <t>openpcie_tx_slow_sink_test</t>
        </is>
      </c>
      <c r="C6" s="12" t="inlineStr">
        <is>
          <t>openpcie_tx_backpressure_vseq</t>
        </is>
      </c>
      <c r="D6" s="13" t="inlineStr">
        <is>
          <t>D</t>
        </is>
      </c>
      <c r="E6" s="13" t="inlineStr">
        <is>
          <t>P1</t>
        </is>
      </c>
      <c r="F6" s="12" t="inlineStr">
        <is>
          <t>READY_SLOW, period 4</t>
        </is>
      </c>
      <c r="G6" s="13" t="inlineStr">
        <is>
          <t>20 ms</t>
        </is>
      </c>
      <c r="H6" s="12" t="inlineStr">
        <is>
          <t>TX-PROTO-001/002/004</t>
        </is>
      </c>
      <c r="I6" s="12" t="inlineStr">
        <is>
          <t>As TC-04, one beat accepted every 4 cycles</t>
        </is>
      </c>
      <c r="J6" s="12" t="inlineStr">
        <is>
          <t>As TC-04</t>
        </is>
      </c>
      <c r="K6" s="14" t="inlineStr">
        <is>
          <t>Fail (expected)</t>
        </is>
      </c>
      <c r="L6" s="14" t="inlineStr">
        <is>
          <t>Pass</t>
        </is>
      </c>
      <c r="M6" s="15" t="inlineStr"/>
      <c r="N6" s="15" t="inlineStr"/>
    </row>
    <row r="7">
      <c r="A7" s="13" t="inlineStr">
        <is>
          <t>TC-06</t>
        </is>
      </c>
      <c r="B7" s="12" t="inlineStr">
        <is>
          <t>openpcie_tx_burst_sink_test</t>
        </is>
      </c>
      <c r="C7" s="12" t="inlineStr">
        <is>
          <t>openpcie_tx_backpressure_vseq</t>
        </is>
      </c>
      <c r="D7" s="13" t="inlineStr">
        <is>
          <t>D</t>
        </is>
      </c>
      <c r="E7" s="13" t="inlineStr">
        <is>
          <t>P1</t>
        </is>
      </c>
      <c r="F7" s="12" t="inlineStr">
        <is>
          <t>READY_BURST, 1 accept / 3 stall</t>
        </is>
      </c>
      <c r="G7" s="13" t="inlineStr">
        <is>
          <t>20 ms</t>
        </is>
      </c>
      <c r="H7" s="12" t="inlineStr">
        <is>
          <t>TX-PROTO-001/002/004</t>
        </is>
      </c>
      <c r="I7" s="12" t="inlineStr">
        <is>
          <t>As TC-04, alternating accept/stall runs</t>
        </is>
      </c>
      <c r="J7" s="12" t="inlineStr">
        <is>
          <t>As TC-04</t>
        </is>
      </c>
      <c r="K7" s="14" t="inlineStr">
        <is>
          <t>Fail (expected)</t>
        </is>
      </c>
      <c r="L7" s="14" t="inlineStr">
        <is>
          <t>Pass</t>
        </is>
      </c>
      <c r="M7" s="15" t="inlineStr"/>
      <c r="N7" s="15" t="inlineStr"/>
    </row>
    <row r="8">
      <c r="A8" s="13" t="inlineStr">
        <is>
          <t>TC-07</t>
        </is>
      </c>
      <c r="B8" s="12" t="inlineStr">
        <is>
          <t>openpcie_rx_cpl_test</t>
        </is>
      </c>
      <c r="C8" s="12" t="inlineStr">
        <is>
          <t>openpcie_rx_cpl_vseq</t>
        </is>
      </c>
      <c r="D8" s="13" t="inlineStr">
        <is>
          <t>D/CR</t>
        </is>
      </c>
      <c r="E8" s="13" t="inlineStr">
        <is>
          <t>P1</t>
        </is>
      </c>
      <c r="F8" s="12" t="inlineStr">
        <is>
          <t>READY_ALWAYS; no TX required</t>
        </is>
      </c>
      <c r="G8" s="13" t="inlineStr">
        <is>
          <t>20 ms</t>
        </is>
      </c>
      <c r="H8" s="12" t="inlineStr">
        <is>
          <t>RX-CAP-001/002/003</t>
        </is>
      </c>
      <c r="I8" s="12" t="inlineStr">
        <is>
          <t>10–100 CplD cycling SC/UR/CRS/CA + readback of RX_STATUS/RX_DATA/RX_HDR_INFO; 4 Cpl without data; 1 inbound MemWr32</t>
        </is>
      </c>
      <c r="J8" s="12" t="inlineStr">
        <is>
          <t>Readbacks equal predictor shadow; RX_DATA unchanged after non-Cpl TLP</t>
        </is>
      </c>
      <c r="K8" s="14" t="inlineStr">
        <is>
          <t>Pass</t>
        </is>
      </c>
      <c r="L8" s="14" t="inlineStr">
        <is>
          <t>Pass</t>
        </is>
      </c>
      <c r="M8" s="15" t="inlineStr"/>
      <c r="N8" s="15" t="inlineStr"/>
    </row>
    <row r="9">
      <c r="A9" s="13" t="inlineStr">
        <is>
          <t>TC-08</t>
        </is>
      </c>
      <c r="B9" s="12" t="inlineStr">
        <is>
          <t>openpcie_reg_access_test</t>
        </is>
      </c>
      <c r="C9" s="12" t="inlineStr">
        <is>
          <t>openpcie_reg_access_vseq</t>
        </is>
      </c>
      <c r="D9" s="13" t="inlineStr">
        <is>
          <t>D</t>
        </is>
      </c>
      <c r="E9" s="13" t="inlineStr">
        <is>
          <t>P1</t>
        </is>
      </c>
      <c r="F9" s="12" t="inlineStr">
        <is>
          <t>READY_ALWAYS; RAL built</t>
        </is>
      </c>
      <c r="G9" s="13" t="inlineStr">
        <is>
          <t>10 ms</t>
        </is>
      </c>
      <c r="H9" s="12" t="inlineStr">
        <is>
          <t>REG-001..004, TX-TRIG-001/002</t>
        </is>
      </c>
      <c r="I9" s="12" t="inlineStr">
        <is>
          <t>RAL read 5 RO regs; write TX_HDR0..2; read back WO regs; write all RO regs (MRd header to +0x20); RAL read again; write TX_DATA; read +0x14 vs +0x54</t>
        </is>
      </c>
      <c r="J9" s="12" t="inlineStr">
        <is>
          <t>WO reads 0; RO unchanged; packet = MRd (RTL as written) or MWr (fixed), predictor matches both; +0x54 aliases +0x14</t>
        </is>
      </c>
      <c r="K9" s="14" t="inlineStr">
        <is>
          <t>Pass</t>
        </is>
      </c>
      <c r="L9" s="14" t="inlineStr">
        <is>
          <t>Pass</t>
        </is>
      </c>
      <c r="M9" s="15" t="inlineStr"/>
      <c r="N9" s="15" t="inlineStr"/>
    </row>
    <row r="10">
      <c r="A10" s="13" t="inlineStr">
        <is>
          <t>TC-09</t>
        </is>
      </c>
      <c r="B10" s="12" t="inlineStr">
        <is>
          <t>openpcie_sideband_test</t>
        </is>
      </c>
      <c r="C10" s="12" t="inlineStr">
        <is>
          <t>openpcie_sideband_vseq</t>
        </is>
      </c>
      <c r="D10" s="13" t="inlineStr">
        <is>
          <t>D</t>
        </is>
      </c>
      <c r="E10" s="13" t="inlineStr">
        <is>
          <t>P1</t>
        </is>
      </c>
      <c r="F10" s="12" t="inlineStr">
        <is>
          <t>READY_ALWAYS</t>
        </is>
      </c>
      <c r="G10" s="13" t="inlineStr">
        <is>
          <t>20 ms</t>
        </is>
      </c>
      <c r="H10" s="12" t="inlineStr">
        <is>
          <t>CFG-001/002/003, TX-FLOW-001</t>
        </is>
      </c>
      <c r="I10" s="12" t="inlineStr">
        <is>
          <t>tx_buf_av 32→0 with cfg_status 0/FFFF/0010, TLP + PHY_STATUS read each step; err_fatal with cfg_status A5A5; err_fatal at credits 16..0</t>
        </is>
      </c>
      <c r="J10" s="12" t="inlineStr">
        <is>
          <t>PHY_STATUS[5:0] = tx_buf_av; ERR_STATUS = {err_fatal, cfg_status}; TX continues at 0 credits; SOC-010</t>
        </is>
      </c>
      <c r="K10" s="14" t="inlineStr">
        <is>
          <t>Pass</t>
        </is>
      </c>
      <c r="L10" s="14" t="inlineStr">
        <is>
          <t>Pass</t>
        </is>
      </c>
      <c r="M10" s="15" t="inlineStr"/>
      <c r="N10" s="15" t="inlineStr"/>
    </row>
    <row r="11">
      <c r="A11" s="13" t="inlineStr">
        <is>
          <t>TC-10</t>
        </is>
      </c>
      <c r="B11" s="12" t="inlineStr">
        <is>
          <t>openpcie_reset_test</t>
        </is>
      </c>
      <c r="C11" s="12" t="inlineStr">
        <is>
          <t>openpcie_reset_vseq</t>
        </is>
      </c>
      <c r="D11" s="13" t="inlineStr">
        <is>
          <t>D</t>
        </is>
      </c>
      <c r="E11" s="13" t="inlineStr">
        <is>
          <t>P1</t>
        </is>
      </c>
      <c r="F11" s="12" t="inlineStr">
        <is>
          <t>READY_ALWAYS</t>
        </is>
      </c>
      <c r="G11" s="13" t="inlineStr">
        <is>
          <t>20 ms</t>
        </is>
      </c>
      <c r="H11" s="12" t="inlineStr">
        <is>
          <t>RST-001/002</t>
        </is>
      </c>
      <c r="I11" s="12" t="inlineStr">
        <is>
          <t>8 MemWr32; reset pulse 20 cycles; wait re-boot; read RX_DATA, RX_STATUS; 8 MemWr32</t>
        </is>
      </c>
      <c r="J11" s="12" t="inlineStr">
        <is>
          <t>Firmware re-boots; RX regs read 0; post-reset packets match</t>
        </is>
      </c>
      <c r="K11" s="14" t="inlineStr">
        <is>
          <t>Pass</t>
        </is>
      </c>
      <c r="L11" s="14" t="inlineStr">
        <is>
          <t>Pass</t>
        </is>
      </c>
      <c r="M11" s="15" t="inlineStr"/>
      <c r="N11" s="15" t="inlineStr"/>
    </row>
    <row r="12">
      <c r="A12" s="13" t="inlineStr">
        <is>
          <t>TC-11</t>
        </is>
      </c>
      <c r="B12" s="12" t="inlineStr">
        <is>
          <t>openpcie_random_test</t>
        </is>
      </c>
      <c r="C12" s="12" t="inlineStr">
        <is>
          <t>openpcie_random_vseq</t>
        </is>
      </c>
      <c r="D12" s="13" t="inlineStr">
        <is>
          <t>CR</t>
        </is>
      </c>
      <c r="E12" s="13" t="inlineStr">
        <is>
          <t>P1</t>
        </is>
      </c>
      <c r="F12" s="12" t="inlineStr">
        <is>
          <t>READY_RANDOM, 65 %</t>
        </is>
      </c>
      <c r="G12" s="13" t="inlineStr">
        <is>
          <t>60 ms</t>
        </is>
      </c>
      <c r="H12" s="12" t="inlineStr">
        <is>
          <t>MIX-001, TX-PROTO-004, all groups</t>
        </is>
      </c>
      <c r="I12" s="12" t="inlineStr">
        <is>
          <t>50–500 iterations: MemWr32 40 %, MemRd32 20 %, CplD out 10 %, CplD in 10 %, reg read 10 %, sideband change 10 %</t>
        </is>
      </c>
      <c r="J12" s="12" t="inlineStr">
        <is>
          <t>Full environment: scoreboard, predictor, monitor, all SVA</t>
        </is>
      </c>
      <c r="K12" s="14" t="inlineStr">
        <is>
          <t>Fail (expected)</t>
        </is>
      </c>
      <c r="L12" s="14" t="inlineStr">
        <is>
          <t>Pass</t>
        </is>
      </c>
      <c r="M12" s="15" t="inlineStr"/>
      <c r="N12" s="15" t="inlineStr"/>
    </row>
  </sheetData>
  <autoFilter ref="A1:N12"/>
  <conditionalFormatting sqref="K2:L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"Fail (expected)"</formula>
    </cfRule>
    <cfRule type="cellIs" priority="4" operator="equal" dxfId="2">
      <formula>"Partial"</formula>
    </cfRule>
    <cfRule type="cellIs" priority="5" operator="equal" dxfId="2">
      <formula>"Open"</formula>
    </cfRule>
    <cfRule type="cellIs" priority="6" operator="equal" dxfId="2">
      <formula>"Not run"</formula>
    </cfRule>
    <cfRule type="cellIs" priority="7" operator="equal" dxfId="0">
      <formula>"Met"</formula>
    </cfRule>
    <cfRule type="cellIs" priority="8" operator="equal" dxfId="0">
      <formula>"Verified"</formula>
    </cfRule>
    <cfRule type="cellIs" priority="9" operator="equal" dxfId="0">
      <formula>"Closed"</formula>
    </cfRule>
    <cfRule type="cellIs" priority="10" operator="equal" dxfId="0">
      <formula>"Fixed"</formula>
    </cfRule>
  </conditionalFormatting>
  <dataValidations count="1">
    <dataValidation sqref="K2:L12" showDropDown="0" showInputMessage="0" showErrorMessage="0" allowBlank="1" type="list">
      <formula1>"Pass,Fail,Fail (expected),Not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0" customWidth="1" min="14" max="14"/>
    <col width="10" customWidth="1" min="15" max="15"/>
    <col width="11" customWidth="1" min="16" max="16"/>
  </cols>
  <sheetData>
    <row r="1">
      <c r="A1" s="11" t="inlineStr">
        <is>
          <t>Req ID</t>
        </is>
      </c>
      <c r="B1" s="11" t="inlineStr">
        <is>
          <t>Priority</t>
        </is>
      </c>
      <c r="C1" s="11" t="inlineStr">
        <is>
          <t>TC-01</t>
        </is>
      </c>
      <c r="D1" s="11" t="inlineStr">
        <is>
          <t>TC-02</t>
        </is>
      </c>
      <c r="E1" s="11" t="inlineStr">
        <is>
          <t>TC-03</t>
        </is>
      </c>
      <c r="F1" s="11" t="inlineStr">
        <is>
          <t>TC-04</t>
        </is>
      </c>
      <c r="G1" s="11" t="inlineStr">
        <is>
          <t>TC-05</t>
        </is>
      </c>
      <c r="H1" s="11" t="inlineStr">
        <is>
          <t>TC-06</t>
        </is>
      </c>
      <c r="I1" s="11" t="inlineStr">
        <is>
          <t>TC-07</t>
        </is>
      </c>
      <c r="J1" s="11" t="inlineStr">
        <is>
          <t>TC-08</t>
        </is>
      </c>
      <c r="K1" s="11" t="inlineStr">
        <is>
          <t>TC-09</t>
        </is>
      </c>
      <c r="L1" s="11" t="inlineStr">
        <is>
          <t>TC-10</t>
        </is>
      </c>
      <c r="M1" s="11" t="inlineStr">
        <is>
          <t>TC-11</t>
        </is>
      </c>
      <c r="N1" s="11" t="inlineStr">
        <is>
          <t>Primary tests</t>
        </is>
      </c>
      <c r="O1" s="11" t="inlineStr">
        <is>
          <t>Total tests</t>
        </is>
      </c>
      <c r="P1" s="11" t="inlineStr">
        <is>
          <t>Covered?</t>
        </is>
      </c>
    </row>
    <row r="2">
      <c r="A2" s="12" t="inlineStr">
        <is>
          <t>SMOKE-001</t>
        </is>
      </c>
      <c r="B2" s="13" t="inlineStr">
        <is>
          <t>P1</t>
        </is>
      </c>
      <c r="C2" s="13" t="inlineStr">
        <is>
          <t>●</t>
        </is>
      </c>
      <c r="D2" s="13" t="inlineStr"/>
      <c r="E2" s="13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>
        <f>COUNTIF(C2:M2,"●")</f>
        <v/>
      </c>
      <c r="O2" s="13">
        <f>COUNTIF(C2:M2,"●")+COUNTIF(C2:M2,"○")</f>
        <v/>
      </c>
      <c r="P2" s="13">
        <f>IF(A2="TX-FLOW-002","Doc only",IF(O2&gt;0,"Yes","NO"))</f>
        <v/>
      </c>
    </row>
    <row r="3">
      <c r="A3" s="12" t="inlineStr">
        <is>
          <t>TX-FMT-001</t>
        </is>
      </c>
      <c r="B3" s="13" t="inlineStr">
        <is>
          <t>P1</t>
        </is>
      </c>
      <c r="C3" s="13" t="inlineStr">
        <is>
          <t>●</t>
        </is>
      </c>
      <c r="D3" s="13" t="inlineStr">
        <is>
          <t>●</t>
        </is>
      </c>
      <c r="E3" s="13" t="inlineStr">
        <is>
          <t>●</t>
        </is>
      </c>
      <c r="F3" s="13" t="inlineStr">
        <is>
          <t>○</t>
        </is>
      </c>
      <c r="G3" s="13" t="inlineStr">
        <is>
          <t>○</t>
        </is>
      </c>
      <c r="H3" s="13" t="inlineStr">
        <is>
          <t>○</t>
        </is>
      </c>
      <c r="I3" s="13" t="inlineStr"/>
      <c r="J3" s="13" t="inlineStr">
        <is>
          <t>○</t>
        </is>
      </c>
      <c r="K3" s="13" t="inlineStr">
        <is>
          <t>○</t>
        </is>
      </c>
      <c r="L3" s="13" t="inlineStr">
        <is>
          <t>○</t>
        </is>
      </c>
      <c r="M3" s="13" t="inlineStr">
        <is>
          <t>○</t>
        </is>
      </c>
      <c r="N3" s="13">
        <f>COUNTIF(C3:M3,"●")</f>
        <v/>
      </c>
      <c r="O3" s="13">
        <f>COUNTIF(C3:M3,"●")+COUNTIF(C3:M3,"○")</f>
        <v/>
      </c>
      <c r="P3" s="13">
        <f>IF(A3="TX-FLOW-002","Doc only",IF(O3&gt;0,"Yes","NO"))</f>
        <v/>
      </c>
    </row>
    <row r="4">
      <c r="A4" s="12" t="inlineStr">
        <is>
          <t>TX-FMT-002</t>
        </is>
      </c>
      <c r="B4" s="13" t="inlineStr">
        <is>
          <t>P1</t>
        </is>
      </c>
      <c r="C4" s="13" t="inlineStr"/>
      <c r="D4" s="13" t="inlineStr">
        <is>
          <t>●</t>
        </is>
      </c>
      <c r="E4" s="13" t="inlineStr">
        <is>
          <t>●</t>
        </is>
      </c>
      <c r="F4" s="13" t="inlineStr">
        <is>
          <t>○</t>
        </is>
      </c>
      <c r="G4" s="13" t="inlineStr">
        <is>
          <t>○</t>
        </is>
      </c>
      <c r="H4" s="13" t="inlineStr">
        <is>
          <t>○</t>
        </is>
      </c>
      <c r="I4" s="13" t="inlineStr"/>
      <c r="J4" s="13" t="inlineStr">
        <is>
          <t>○</t>
        </is>
      </c>
      <c r="K4" s="13" t="inlineStr"/>
      <c r="L4" s="13" t="inlineStr"/>
      <c r="M4" s="13" t="inlineStr">
        <is>
          <t>○</t>
        </is>
      </c>
      <c r="N4" s="13">
        <f>COUNTIF(C4:M4,"●")</f>
        <v/>
      </c>
      <c r="O4" s="13">
        <f>COUNTIF(C4:M4,"●")+COUNTIF(C4:M4,"○")</f>
        <v/>
      </c>
      <c r="P4" s="13">
        <f>IF(A4="TX-FLOW-002","Doc only",IF(O4&gt;0,"Yes","NO"))</f>
        <v/>
      </c>
    </row>
    <row r="5">
      <c r="A5" s="12" t="inlineStr">
        <is>
          <t>TX-FMT-003</t>
        </is>
      </c>
      <c r="B5" s="13" t="inlineStr">
        <is>
          <t>P1</t>
        </is>
      </c>
      <c r="C5" s="13" t="inlineStr">
        <is>
          <t>○</t>
        </is>
      </c>
      <c r="D5" s="13" t="inlineStr">
        <is>
          <t>●</t>
        </is>
      </c>
      <c r="E5" s="13" t="inlineStr">
        <is>
          <t>●</t>
        </is>
      </c>
      <c r="F5" s="13" t="inlineStr">
        <is>
          <t>○</t>
        </is>
      </c>
      <c r="G5" s="13" t="inlineStr">
        <is>
          <t>○</t>
        </is>
      </c>
      <c r="H5" s="13" t="inlineStr">
        <is>
          <t>○</t>
        </is>
      </c>
      <c r="I5" s="13" t="inlineStr"/>
      <c r="J5" s="13" t="inlineStr">
        <is>
          <t>○</t>
        </is>
      </c>
      <c r="K5" s="13" t="inlineStr">
        <is>
          <t>○</t>
        </is>
      </c>
      <c r="L5" s="13" t="inlineStr">
        <is>
          <t>○</t>
        </is>
      </c>
      <c r="M5" s="13" t="inlineStr">
        <is>
          <t>○</t>
        </is>
      </c>
      <c r="N5" s="13">
        <f>COUNTIF(C5:M5,"●")</f>
        <v/>
      </c>
      <c r="O5" s="13">
        <f>COUNTIF(C5:M5,"●")+COUNTIF(C5:M5,"○")</f>
        <v/>
      </c>
      <c r="P5" s="13">
        <f>IF(A5="TX-FLOW-002","Doc only",IF(O5&gt;0,"Yes","NO"))</f>
        <v/>
      </c>
    </row>
    <row r="6">
      <c r="A6" s="12" t="inlineStr">
        <is>
          <t>TX-DATA-001</t>
        </is>
      </c>
      <c r="B6" s="13" t="inlineStr">
        <is>
          <t>P1</t>
        </is>
      </c>
      <c r="C6" s="13" t="inlineStr"/>
      <c r="D6" s="13" t="inlineStr">
        <is>
          <t>●</t>
        </is>
      </c>
      <c r="E6" s="13" t="inlineStr">
        <is>
          <t>○</t>
        </is>
      </c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>
        <is>
          <t>○</t>
        </is>
      </c>
      <c r="N6" s="13">
        <f>COUNTIF(C6:M6,"●")</f>
        <v/>
      </c>
      <c r="O6" s="13">
        <f>COUNTIF(C6:M6,"●")+COUNTIF(C6:M6,"○")</f>
        <v/>
      </c>
      <c r="P6" s="13">
        <f>IF(A6="TX-FLOW-002","Doc only",IF(O6&gt;0,"Yes","NO"))</f>
        <v/>
      </c>
    </row>
    <row r="7">
      <c r="A7" s="12" t="inlineStr">
        <is>
          <t>TX-RAND-001</t>
        </is>
      </c>
      <c r="B7" s="13" t="inlineStr">
        <is>
          <t>P1</t>
        </is>
      </c>
      <c r="C7" s="13" t="inlineStr"/>
      <c r="D7" s="13" t="inlineStr"/>
      <c r="E7" s="13" t="inlineStr">
        <is>
          <t>●</t>
        </is>
      </c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>
        <is>
          <t>○</t>
        </is>
      </c>
      <c r="N7" s="13">
        <f>COUNTIF(C7:M7,"●")</f>
        <v/>
      </c>
      <c r="O7" s="13">
        <f>COUNTIF(C7:M7,"●")+COUNTIF(C7:M7,"○")</f>
        <v/>
      </c>
      <c r="P7" s="13">
        <f>IF(A7="TX-FLOW-002","Doc only",IF(O7&gt;0,"Yes","NO"))</f>
        <v/>
      </c>
    </row>
    <row r="8">
      <c r="A8" s="12" t="inlineStr">
        <is>
          <t>TX-TRIG-001</t>
        </is>
      </c>
      <c r="B8" s="13" t="inlineStr">
        <is>
          <t>P1</t>
        </is>
      </c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>
        <is>
          <t>●</t>
        </is>
      </c>
      <c r="K8" s="13" t="inlineStr"/>
      <c r="L8" s="13" t="inlineStr"/>
      <c r="M8" s="13" t="inlineStr"/>
      <c r="N8" s="13">
        <f>COUNTIF(C8:M8,"●")</f>
        <v/>
      </c>
      <c r="O8" s="13">
        <f>COUNTIF(C8:M8,"●")+COUNTIF(C8:M8,"○")</f>
        <v/>
      </c>
      <c r="P8" s="13">
        <f>IF(A8="TX-FLOW-002","Doc only",IF(O8&gt;0,"Yes","NO"))</f>
        <v/>
      </c>
    </row>
    <row r="9">
      <c r="A9" s="12" t="inlineStr">
        <is>
          <t>TX-TRIG-002</t>
        </is>
      </c>
      <c r="B9" s="13" t="inlineStr">
        <is>
          <t>P2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>
        <is>
          <t>●</t>
        </is>
      </c>
      <c r="K9" s="13" t="inlineStr"/>
      <c r="L9" s="13" t="inlineStr"/>
      <c r="M9" s="13" t="inlineStr"/>
      <c r="N9" s="13">
        <f>COUNTIF(C9:M9,"●")</f>
        <v/>
      </c>
      <c r="O9" s="13">
        <f>COUNTIF(C9:M9,"●")+COUNTIF(C9:M9,"○")</f>
        <v/>
      </c>
      <c r="P9" s="13">
        <f>IF(A9="TX-FLOW-002","Doc only",IF(O9&gt;0,"Yes","NO"))</f>
        <v/>
      </c>
    </row>
    <row r="10">
      <c r="A10" s="12" t="inlineStr">
        <is>
          <t>TX-PROTO-001</t>
        </is>
      </c>
      <c r="B10" s="13" t="inlineStr">
        <is>
          <t>P1</t>
        </is>
      </c>
      <c r="C10" s="13" t="inlineStr">
        <is>
          <t>○</t>
        </is>
      </c>
      <c r="D10" s="13" t="inlineStr">
        <is>
          <t>○</t>
        </is>
      </c>
      <c r="E10" s="13" t="inlineStr">
        <is>
          <t>○</t>
        </is>
      </c>
      <c r="F10" s="13" t="inlineStr">
        <is>
          <t>●</t>
        </is>
      </c>
      <c r="G10" s="13" t="inlineStr">
        <is>
          <t>●</t>
        </is>
      </c>
      <c r="H10" s="13" t="inlineStr">
        <is>
          <t>●</t>
        </is>
      </c>
      <c r="I10" s="13" t="inlineStr"/>
      <c r="J10" s="13" t="inlineStr">
        <is>
          <t>○</t>
        </is>
      </c>
      <c r="K10" s="13" t="inlineStr">
        <is>
          <t>○</t>
        </is>
      </c>
      <c r="L10" s="13" t="inlineStr">
        <is>
          <t>○</t>
        </is>
      </c>
      <c r="M10" s="13" t="inlineStr">
        <is>
          <t>●</t>
        </is>
      </c>
      <c r="N10" s="13">
        <f>COUNTIF(C10:M10,"●")</f>
        <v/>
      </c>
      <c r="O10" s="13">
        <f>COUNTIF(C10:M10,"●")+COUNTIF(C10:M10,"○")</f>
        <v/>
      </c>
      <c r="P10" s="13">
        <f>IF(A10="TX-FLOW-002","Doc only",IF(O10&gt;0,"Yes","NO"))</f>
        <v/>
      </c>
    </row>
    <row r="11">
      <c r="A11" s="12" t="inlineStr">
        <is>
          <t>TX-PROTO-002</t>
        </is>
      </c>
      <c r="B11" s="13" t="inlineStr">
        <is>
          <t>P1</t>
        </is>
      </c>
      <c r="C11" s="13" t="inlineStr"/>
      <c r="D11" s="13" t="inlineStr"/>
      <c r="E11" s="13" t="inlineStr"/>
      <c r="F11" s="13" t="inlineStr">
        <is>
          <t>●</t>
        </is>
      </c>
      <c r="G11" s="13" t="inlineStr">
        <is>
          <t>●</t>
        </is>
      </c>
      <c r="H11" s="13" t="inlineStr">
        <is>
          <t>●</t>
        </is>
      </c>
      <c r="I11" s="13" t="inlineStr"/>
      <c r="J11" s="13" t="inlineStr"/>
      <c r="K11" s="13" t="inlineStr"/>
      <c r="L11" s="13" t="inlineStr"/>
      <c r="M11" s="13" t="inlineStr">
        <is>
          <t>●</t>
        </is>
      </c>
      <c r="N11" s="13">
        <f>COUNTIF(C11:M11,"●")</f>
        <v/>
      </c>
      <c r="O11" s="13">
        <f>COUNTIF(C11:M11,"●")+COUNTIF(C11:M11,"○")</f>
        <v/>
      </c>
      <c r="P11" s="13">
        <f>IF(A11="TX-FLOW-002","Doc only",IF(O11&gt;0,"Yes","NO"))</f>
        <v/>
      </c>
    </row>
    <row r="12">
      <c r="A12" s="12" t="inlineStr">
        <is>
          <t>TX-PROTO-003</t>
        </is>
      </c>
      <c r="B12" s="13" t="inlineStr">
        <is>
          <t>P1</t>
        </is>
      </c>
      <c r="C12" s="13" t="inlineStr">
        <is>
          <t>○</t>
        </is>
      </c>
      <c r="D12" s="13" t="inlineStr">
        <is>
          <t>○</t>
        </is>
      </c>
      <c r="E12" s="13" t="inlineStr">
        <is>
          <t>○</t>
        </is>
      </c>
      <c r="F12" s="13" t="inlineStr">
        <is>
          <t>○</t>
        </is>
      </c>
      <c r="G12" s="13" t="inlineStr">
        <is>
          <t>○</t>
        </is>
      </c>
      <c r="H12" s="13" t="inlineStr">
        <is>
          <t>○</t>
        </is>
      </c>
      <c r="I12" s="13" t="inlineStr">
        <is>
          <t>○</t>
        </is>
      </c>
      <c r="J12" s="13" t="inlineStr">
        <is>
          <t>○</t>
        </is>
      </c>
      <c r="K12" s="13" t="inlineStr">
        <is>
          <t>○</t>
        </is>
      </c>
      <c r="L12" s="13" t="inlineStr">
        <is>
          <t>○</t>
        </is>
      </c>
      <c r="M12" s="13" t="inlineStr">
        <is>
          <t>○</t>
        </is>
      </c>
      <c r="N12" s="13">
        <f>COUNTIF(C12:M12,"●")</f>
        <v/>
      </c>
      <c r="O12" s="13">
        <f>COUNTIF(C12:M12,"●")+COUNTIF(C12:M12,"○")</f>
        <v/>
      </c>
      <c r="P12" s="13">
        <f>IF(A12="TX-FLOW-002","Doc only",IF(O12&gt;0,"Yes","NO"))</f>
        <v/>
      </c>
    </row>
    <row r="13">
      <c r="A13" s="12" t="inlineStr">
        <is>
          <t>TX-PROTO-004</t>
        </is>
      </c>
      <c r="B13" s="13" t="inlineStr">
        <is>
          <t>P1</t>
        </is>
      </c>
      <c r="C13" s="13" t="inlineStr"/>
      <c r="D13" s="13" t="inlineStr"/>
      <c r="E13" s="13" t="inlineStr"/>
      <c r="F13" s="13" t="inlineStr">
        <is>
          <t>●</t>
        </is>
      </c>
      <c r="G13" s="13" t="inlineStr">
        <is>
          <t>●</t>
        </is>
      </c>
      <c r="H13" s="13" t="inlineStr">
        <is>
          <t>●</t>
        </is>
      </c>
      <c r="I13" s="13" t="inlineStr"/>
      <c r="J13" s="13" t="inlineStr"/>
      <c r="K13" s="13" t="inlineStr"/>
      <c r="L13" s="13" t="inlineStr"/>
      <c r="M13" s="13" t="inlineStr">
        <is>
          <t>●</t>
        </is>
      </c>
      <c r="N13" s="13">
        <f>COUNTIF(C13:M13,"●")</f>
        <v/>
      </c>
      <c r="O13" s="13">
        <f>COUNTIF(C13:M13,"●")+COUNTIF(C13:M13,"○")</f>
        <v/>
      </c>
      <c r="P13" s="13">
        <f>IF(A13="TX-FLOW-002","Doc only",IF(O13&gt;0,"Yes","NO"))</f>
        <v/>
      </c>
    </row>
    <row r="14">
      <c r="A14" s="12" t="inlineStr">
        <is>
          <t>TX-FLOW-001</t>
        </is>
      </c>
      <c r="B14" s="13" t="inlineStr">
        <is>
          <t>P3</t>
        </is>
      </c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>
        <is>
          <t>●</t>
        </is>
      </c>
      <c r="L14" s="13" t="inlineStr"/>
      <c r="M14" s="13" t="inlineStr"/>
      <c r="N14" s="13">
        <f>COUNTIF(C14:M14,"●")</f>
        <v/>
      </c>
      <c r="O14" s="13">
        <f>COUNTIF(C14:M14,"●")+COUNTIF(C14:M14,"○")</f>
        <v/>
      </c>
      <c r="P14" s="13">
        <f>IF(A14="TX-FLOW-002","Doc only",IF(O14&gt;0,"Yes","NO"))</f>
        <v/>
      </c>
    </row>
    <row r="15">
      <c r="A15" s="12" t="inlineStr">
        <is>
          <t>TX-FLOW-002</t>
        </is>
      </c>
      <c r="B15" s="13" t="inlineStr">
        <is>
          <t>P3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>
        <f>COUNTIF(C15:M15,"●")</f>
        <v/>
      </c>
      <c r="O15" s="13">
        <f>COUNTIF(C15:M15,"●")+COUNTIF(C15:M15,"○")</f>
        <v/>
      </c>
      <c r="P15" s="13">
        <f>IF(A15="TX-FLOW-002","Doc only",IF(O15&gt;0,"Yes","NO"))</f>
        <v/>
      </c>
    </row>
    <row r="16">
      <c r="A16" s="12" t="inlineStr">
        <is>
          <t>RX-CAP-001</t>
        </is>
      </c>
      <c r="B16" s="13" t="inlineStr">
        <is>
          <t>P1</t>
        </is>
      </c>
      <c r="C16" s="13" t="inlineStr"/>
      <c r="D16" s="13" t="inlineStr"/>
      <c r="E16" s="13" t="inlineStr"/>
      <c r="F16" s="13" t="inlineStr"/>
      <c r="G16" s="13" t="inlineStr"/>
      <c r="H16" s="13" t="inlineStr"/>
      <c r="I16" s="13" t="inlineStr">
        <is>
          <t>●</t>
        </is>
      </c>
      <c r="J16" s="13" t="inlineStr"/>
      <c r="K16" s="13" t="inlineStr"/>
      <c r="L16" s="13" t="inlineStr"/>
      <c r="M16" s="13" t="inlineStr">
        <is>
          <t>○</t>
        </is>
      </c>
      <c r="N16" s="13">
        <f>COUNTIF(C16:M16,"●")</f>
        <v/>
      </c>
      <c r="O16" s="13">
        <f>COUNTIF(C16:M16,"●")+COUNTIF(C16:M16,"○")</f>
        <v/>
      </c>
      <c r="P16" s="13">
        <f>IF(A16="TX-FLOW-002","Doc only",IF(O16&gt;0,"Yes","NO"))</f>
        <v/>
      </c>
    </row>
    <row r="17">
      <c r="A17" s="12" t="inlineStr">
        <is>
          <t>RX-CAP-002</t>
        </is>
      </c>
      <c r="B17" s="13" t="inlineStr">
        <is>
          <t>P1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>
        <is>
          <t>●</t>
        </is>
      </c>
      <c r="J17" s="13" t="inlineStr"/>
      <c r="K17" s="13" t="inlineStr"/>
      <c r="L17" s="13" t="inlineStr"/>
      <c r="M17" s="13" t="inlineStr">
        <is>
          <t>○</t>
        </is>
      </c>
      <c r="N17" s="13">
        <f>COUNTIF(C17:M17,"●")</f>
        <v/>
      </c>
      <c r="O17" s="13">
        <f>COUNTIF(C17:M17,"●")+COUNTIF(C17:M17,"○")</f>
        <v/>
      </c>
      <c r="P17" s="13">
        <f>IF(A17="TX-FLOW-002","Doc only",IF(O17&gt;0,"Yes","NO"))</f>
        <v/>
      </c>
    </row>
    <row r="18">
      <c r="A18" s="12" t="inlineStr">
        <is>
          <t>RX-CAP-003</t>
        </is>
      </c>
      <c r="B18" s="13" t="inlineStr">
        <is>
          <t>P2</t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3" t="inlineStr">
        <is>
          <t>●</t>
        </is>
      </c>
      <c r="J18" s="13" t="inlineStr"/>
      <c r="K18" s="13" t="inlineStr"/>
      <c r="L18" s="13" t="inlineStr"/>
      <c r="M18" s="13" t="inlineStr"/>
      <c r="N18" s="13">
        <f>COUNTIF(C18:M18,"●")</f>
        <v/>
      </c>
      <c r="O18" s="13">
        <f>COUNTIF(C18:M18,"●")+COUNTIF(C18:M18,"○")</f>
        <v/>
      </c>
      <c r="P18" s="13">
        <f>IF(A18="TX-FLOW-002","Doc only",IF(O18&gt;0,"Yes","NO"))</f>
        <v/>
      </c>
    </row>
    <row r="19">
      <c r="A19" s="12" t="inlineStr">
        <is>
          <t>RX-CAP-004</t>
        </is>
      </c>
      <c r="B19" s="13" t="inlineStr">
        <is>
          <t>P2</t>
        </is>
      </c>
      <c r="C19" s="13" t="inlineStr">
        <is>
          <t>○</t>
        </is>
      </c>
      <c r="D19" s="13" t="inlineStr">
        <is>
          <t>○</t>
        </is>
      </c>
      <c r="E19" s="13" t="inlineStr">
        <is>
          <t>○</t>
        </is>
      </c>
      <c r="F19" s="13" t="inlineStr">
        <is>
          <t>○</t>
        </is>
      </c>
      <c r="G19" s="13" t="inlineStr">
        <is>
          <t>○</t>
        </is>
      </c>
      <c r="H19" s="13" t="inlineStr">
        <is>
          <t>○</t>
        </is>
      </c>
      <c r="I19" s="13" t="inlineStr">
        <is>
          <t>○</t>
        </is>
      </c>
      <c r="J19" s="13" t="inlineStr">
        <is>
          <t>○</t>
        </is>
      </c>
      <c r="K19" s="13" t="inlineStr">
        <is>
          <t>○</t>
        </is>
      </c>
      <c r="L19" s="13" t="inlineStr">
        <is>
          <t>○</t>
        </is>
      </c>
      <c r="M19" s="13" t="inlineStr">
        <is>
          <t>○</t>
        </is>
      </c>
      <c r="N19" s="13">
        <f>COUNTIF(C19:M19,"●")</f>
        <v/>
      </c>
      <c r="O19" s="13">
        <f>COUNTIF(C19:M19,"●")+COUNTIF(C19:M19,"○")</f>
        <v/>
      </c>
      <c r="P19" s="13">
        <f>IF(A19="TX-FLOW-002","Doc only",IF(O19&gt;0,"Yes","NO"))</f>
        <v/>
      </c>
    </row>
    <row r="20">
      <c r="A20" s="12" t="inlineStr">
        <is>
          <t>REG-001</t>
        </is>
      </c>
      <c r="B20" s="13" t="inlineStr">
        <is>
          <t>P1</t>
        </is>
      </c>
      <c r="C20" s="13" t="inlineStr">
        <is>
          <t>○</t>
        </is>
      </c>
      <c r="D20" s="13" t="inlineStr"/>
      <c r="E20" s="13" t="inlineStr"/>
      <c r="F20" s="13" t="inlineStr"/>
      <c r="G20" s="13" t="inlineStr"/>
      <c r="H20" s="13" t="inlineStr">
        <is>
          <t>○</t>
        </is>
      </c>
      <c r="I20" s="13" t="inlineStr">
        <is>
          <t>○</t>
        </is>
      </c>
      <c r="J20" s="13" t="inlineStr">
        <is>
          <t>●</t>
        </is>
      </c>
      <c r="K20" s="13" t="inlineStr">
        <is>
          <t>○</t>
        </is>
      </c>
      <c r="L20" s="13" t="inlineStr">
        <is>
          <t>○</t>
        </is>
      </c>
      <c r="M20" s="13" t="inlineStr">
        <is>
          <t>○</t>
        </is>
      </c>
      <c r="N20" s="13">
        <f>COUNTIF(C20:M20,"●")</f>
        <v/>
      </c>
      <c r="O20" s="13">
        <f>COUNTIF(C20:M20,"●")+COUNTIF(C20:M20,"○")</f>
        <v/>
      </c>
      <c r="P20" s="13">
        <f>IF(A20="TX-FLOW-002","Doc only",IF(O20&gt;0,"Yes","NO"))</f>
        <v/>
      </c>
    </row>
    <row r="21">
      <c r="A21" s="12" t="inlineStr">
        <is>
          <t>REG-002</t>
        </is>
      </c>
      <c r="B21" s="13" t="inlineStr">
        <is>
          <t>P1</t>
        </is>
      </c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>
        <is>
          <t>●</t>
        </is>
      </c>
      <c r="K21" s="13" t="inlineStr"/>
      <c r="L21" s="13" t="inlineStr"/>
      <c r="M21" s="13" t="inlineStr"/>
      <c r="N21" s="13">
        <f>COUNTIF(C21:M21,"●")</f>
        <v/>
      </c>
      <c r="O21" s="13">
        <f>COUNTIF(C21:M21,"●")+COUNTIF(C21:M21,"○")</f>
        <v/>
      </c>
      <c r="P21" s="13">
        <f>IF(A21="TX-FLOW-002","Doc only",IF(O21&gt;0,"Yes","NO"))</f>
        <v/>
      </c>
    </row>
    <row r="22">
      <c r="A22" s="12" t="inlineStr">
        <is>
          <t>REG-003</t>
        </is>
      </c>
      <c r="B22" s="13" t="inlineStr">
        <is>
          <t>P3</t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>
        <is>
          <t>●</t>
        </is>
      </c>
      <c r="K22" s="13" t="inlineStr"/>
      <c r="L22" s="13" t="inlineStr"/>
      <c r="M22" s="13" t="inlineStr"/>
      <c r="N22" s="13">
        <f>COUNTIF(C22:M22,"●")</f>
        <v/>
      </c>
      <c r="O22" s="13">
        <f>COUNTIF(C22:M22,"●")+COUNTIF(C22:M22,"○")</f>
        <v/>
      </c>
      <c r="P22" s="13">
        <f>IF(A22="TX-FLOW-002","Doc only",IF(O22&gt;0,"Yes","NO"))</f>
        <v/>
      </c>
    </row>
    <row r="23">
      <c r="A23" s="12" t="inlineStr">
        <is>
          <t>REG-004</t>
        </is>
      </c>
      <c r="B23" s="13" t="inlineStr">
        <is>
          <t>P2</t>
        </is>
      </c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>
        <is>
          <t>●</t>
        </is>
      </c>
      <c r="K23" s="13" t="inlineStr"/>
      <c r="L23" s="13" t="inlineStr"/>
      <c r="M23" s="13" t="inlineStr"/>
      <c r="N23" s="13">
        <f>COUNTIF(C23:M23,"●")</f>
        <v/>
      </c>
      <c r="O23" s="13">
        <f>COUNTIF(C23:M23,"●")+COUNTIF(C23:M23,"○")</f>
        <v/>
      </c>
      <c r="P23" s="13">
        <f>IF(A23="TX-FLOW-002","Doc only",IF(O23&gt;0,"Yes","NO"))</f>
        <v/>
      </c>
    </row>
    <row r="24">
      <c r="A24" s="12" t="inlineStr">
        <is>
          <t>CFG-001</t>
        </is>
      </c>
      <c r="B24" s="13" t="inlineStr">
        <is>
          <t>P1</t>
        </is>
      </c>
      <c r="C24" s="13" t="inlineStr">
        <is>
          <t>○</t>
        </is>
      </c>
      <c r="D24" s="13" t="inlineStr"/>
      <c r="E24" s="13" t="inlineStr"/>
      <c r="F24" s="13" t="inlineStr"/>
      <c r="G24" s="13" t="inlineStr"/>
      <c r="H24" s="13" t="inlineStr"/>
      <c r="I24" s="13" t="inlineStr"/>
      <c r="J24" s="13" t="inlineStr">
        <is>
          <t>○</t>
        </is>
      </c>
      <c r="K24" s="13" t="inlineStr">
        <is>
          <t>●</t>
        </is>
      </c>
      <c r="L24" s="13" t="inlineStr"/>
      <c r="M24" s="13" t="inlineStr">
        <is>
          <t>○</t>
        </is>
      </c>
      <c r="N24" s="13">
        <f>COUNTIF(C24:M24,"●")</f>
        <v/>
      </c>
      <c r="O24" s="13">
        <f>COUNTIF(C24:M24,"●")+COUNTIF(C24:M24,"○")</f>
        <v/>
      </c>
      <c r="P24" s="13">
        <f>IF(A24="TX-FLOW-002","Doc only",IF(O24&gt;0,"Yes","NO"))</f>
        <v/>
      </c>
    </row>
    <row r="25">
      <c r="A25" s="12" t="inlineStr">
        <is>
          <t>CFG-002</t>
        </is>
      </c>
      <c r="B25" s="13" t="inlineStr">
        <is>
          <t>P1</t>
        </is>
      </c>
      <c r="C25" s="13" t="inlineStr">
        <is>
          <t>○</t>
        </is>
      </c>
      <c r="D25" s="13" t="inlineStr"/>
      <c r="E25" s="13" t="inlineStr"/>
      <c r="F25" s="13" t="inlineStr"/>
      <c r="G25" s="13" t="inlineStr"/>
      <c r="H25" s="13" t="inlineStr"/>
      <c r="I25" s="13" t="inlineStr"/>
      <c r="J25" s="13" t="inlineStr">
        <is>
          <t>○</t>
        </is>
      </c>
      <c r="K25" s="13" t="inlineStr">
        <is>
          <t>●</t>
        </is>
      </c>
      <c r="L25" s="13" t="inlineStr"/>
      <c r="M25" s="13" t="inlineStr"/>
      <c r="N25" s="13">
        <f>COUNTIF(C25:M25,"●")</f>
        <v/>
      </c>
      <c r="O25" s="13">
        <f>COUNTIF(C25:M25,"●")+COUNTIF(C25:M25,"○")</f>
        <v/>
      </c>
      <c r="P25" s="13">
        <f>IF(A25="TX-FLOW-002","Doc only",IF(O25&gt;0,"Yes","NO"))</f>
        <v/>
      </c>
    </row>
    <row r="26">
      <c r="A26" s="12" t="inlineStr">
        <is>
          <t>CFG-003</t>
        </is>
      </c>
      <c r="B26" s="13" t="inlineStr">
        <is>
          <t>P3</t>
        </is>
      </c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>
        <is>
          <t>●</t>
        </is>
      </c>
      <c r="L26" s="13" t="inlineStr"/>
      <c r="M26" s="13" t="inlineStr">
        <is>
          <t>○</t>
        </is>
      </c>
      <c r="N26" s="13">
        <f>COUNTIF(C26:M26,"●")</f>
        <v/>
      </c>
      <c r="O26" s="13">
        <f>COUNTIF(C26:M26,"●")+COUNTIF(C26:M26,"○")</f>
        <v/>
      </c>
      <c r="P26" s="13">
        <f>IF(A26="TX-FLOW-002","Doc only",IF(O26&gt;0,"Yes","NO"))</f>
        <v/>
      </c>
    </row>
    <row r="27">
      <c r="A27" s="12" t="inlineStr">
        <is>
          <t>RST-001</t>
        </is>
      </c>
      <c r="B27" s="13" t="inlineStr">
        <is>
          <t>P1</t>
        </is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>
        <is>
          <t>●</t>
        </is>
      </c>
      <c r="M27" s="13" t="inlineStr"/>
      <c r="N27" s="13">
        <f>COUNTIF(C27:M27,"●")</f>
        <v/>
      </c>
      <c r="O27" s="13">
        <f>COUNTIF(C27:M27,"●")+COUNTIF(C27:M27,"○")</f>
        <v/>
      </c>
      <c r="P27" s="13">
        <f>IF(A27="TX-FLOW-002","Doc only",IF(O27&gt;0,"Yes","NO"))</f>
        <v/>
      </c>
    </row>
    <row r="28">
      <c r="A28" s="12" t="inlineStr">
        <is>
          <t>RST-002</t>
        </is>
      </c>
      <c r="B28" s="13" t="inlineStr">
        <is>
          <t>P1</t>
        </is>
      </c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>
        <is>
          <t>●</t>
        </is>
      </c>
      <c r="M28" s="13" t="inlineStr"/>
      <c r="N28" s="13">
        <f>COUNTIF(C28:M28,"●")</f>
        <v/>
      </c>
      <c r="O28" s="13">
        <f>COUNTIF(C28:M28,"●")+COUNTIF(C28:M28,"○")</f>
        <v/>
      </c>
      <c r="P28" s="13">
        <f>IF(A28="TX-FLOW-002","Doc only",IF(O28&gt;0,"Yes","NO"))</f>
        <v/>
      </c>
    </row>
    <row r="29">
      <c r="A29" s="12" t="inlineStr">
        <is>
          <t>CPU-001</t>
        </is>
      </c>
      <c r="B29" s="13" t="inlineStr">
        <is>
          <t>P2</t>
        </is>
      </c>
      <c r="C29" s="13" t="inlineStr">
        <is>
          <t>○</t>
        </is>
      </c>
      <c r="D29" s="13" t="inlineStr">
        <is>
          <t>○</t>
        </is>
      </c>
      <c r="E29" s="13" t="inlineStr">
        <is>
          <t>○</t>
        </is>
      </c>
      <c r="F29" s="13" t="inlineStr">
        <is>
          <t>○</t>
        </is>
      </c>
      <c r="G29" s="13" t="inlineStr">
        <is>
          <t>○</t>
        </is>
      </c>
      <c r="H29" s="13" t="inlineStr">
        <is>
          <t>○</t>
        </is>
      </c>
      <c r="I29" s="13" t="inlineStr">
        <is>
          <t>○</t>
        </is>
      </c>
      <c r="J29" s="13" t="inlineStr">
        <is>
          <t>○</t>
        </is>
      </c>
      <c r="K29" s="13" t="inlineStr">
        <is>
          <t>○</t>
        </is>
      </c>
      <c r="L29" s="13" t="inlineStr">
        <is>
          <t>○</t>
        </is>
      </c>
      <c r="M29" s="13" t="inlineStr">
        <is>
          <t>○</t>
        </is>
      </c>
      <c r="N29" s="13">
        <f>COUNTIF(C29:M29,"●")</f>
        <v/>
      </c>
      <c r="O29" s="13">
        <f>COUNTIF(C29:M29,"●")+COUNTIF(C29:M29,"○")</f>
        <v/>
      </c>
      <c r="P29" s="13">
        <f>IF(A29="TX-FLOW-002","Doc only",IF(O29&gt;0,"Yes","NO"))</f>
        <v/>
      </c>
    </row>
    <row r="30">
      <c r="A30" s="12" t="inlineStr">
        <is>
          <t>MIX-001</t>
        </is>
      </c>
      <c r="B30" s="13" t="inlineStr">
        <is>
          <t>P1</t>
        </is>
      </c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>
        <is>
          <t>●</t>
        </is>
      </c>
      <c r="N30" s="13">
        <f>COUNTIF(C30:M30,"●")</f>
        <v/>
      </c>
      <c r="O30" s="13">
        <f>COUNTIF(C30:M30,"●")+COUNTIF(C30:M30,"○")</f>
        <v/>
      </c>
      <c r="P30" s="13">
        <f>IF(A30="TX-FLOW-002","Doc only",IF(O30&gt;0,"Yes","NO"))</f>
        <v/>
      </c>
    </row>
    <row r="32">
      <c r="A32" s="3" t="inlineStr">
        <is>
          <t>● primary target of the test   ○ also exercised and checked</t>
        </is>
      </c>
    </row>
    <row r="33">
      <c r="A33" s="2" t="inlineStr">
        <is>
          <t>Requirements per test (primary):</t>
        </is>
      </c>
      <c r="C33" s="13">
        <f>COUNTIF(C2:C30,"●")</f>
        <v/>
      </c>
      <c r="D33" s="13">
        <f>COUNTIF(D2:D30,"●")</f>
        <v/>
      </c>
      <c r="E33" s="13">
        <f>COUNTIF(E2:E30,"●")</f>
        <v/>
      </c>
      <c r="F33" s="13">
        <f>COUNTIF(F2:F30,"●")</f>
        <v/>
      </c>
      <c r="G33" s="13">
        <f>COUNTIF(G2:G30,"●")</f>
        <v/>
      </c>
      <c r="H33" s="13">
        <f>COUNTIF(H2:H30,"●")</f>
        <v/>
      </c>
      <c r="I33" s="13">
        <f>COUNTIF(I2:I30,"●")</f>
        <v/>
      </c>
      <c r="J33" s="13">
        <f>COUNTIF(J2:J30,"●")</f>
        <v/>
      </c>
      <c r="K33" s="13">
        <f>COUNTIF(K2:K30,"●")</f>
        <v/>
      </c>
      <c r="L33" s="13">
        <f>COUNTIF(L2:L30,"●")</f>
        <v/>
      </c>
      <c r="M33" s="13">
        <f>COUNTIF(M2:M30,"●")</f>
        <v/>
      </c>
    </row>
    <row r="34">
      <c r="A34" s="2" t="inlineStr">
        <is>
          <t>Requirements per test (any):</t>
        </is>
      </c>
      <c r="C34" s="13">
        <f>COUNTIF(C2:C30,"●")+COUNTIF(C2:C30,"○")</f>
        <v/>
      </c>
      <c r="D34" s="13">
        <f>COUNTIF(D2:D30,"●")+COUNTIF(D2:D30,"○")</f>
        <v/>
      </c>
      <c r="E34" s="13">
        <f>COUNTIF(E2:E30,"●")+COUNTIF(E2:E30,"○")</f>
        <v/>
      </c>
      <c r="F34" s="13">
        <f>COUNTIF(F2:F30,"●")+COUNTIF(F2:F30,"○")</f>
        <v/>
      </c>
      <c r="G34" s="13">
        <f>COUNTIF(G2:G30,"●")+COUNTIF(G2:G30,"○")</f>
        <v/>
      </c>
      <c r="H34" s="13">
        <f>COUNTIF(H2:H30,"●")+COUNTIF(H2:H30,"○")</f>
        <v/>
      </c>
      <c r="I34" s="13">
        <f>COUNTIF(I2:I30,"●")+COUNTIF(I2:I30,"○")</f>
        <v/>
      </c>
      <c r="J34" s="13">
        <f>COUNTIF(J2:J30,"●")+COUNTIF(J2:J30,"○")</f>
        <v/>
      </c>
      <c r="K34" s="13">
        <f>COUNTIF(K2:K30,"●")+COUNTIF(K2:K30,"○")</f>
        <v/>
      </c>
      <c r="L34" s="13">
        <f>COUNTIF(L2:L30,"●")+COUNTIF(L2:L30,"○")</f>
        <v/>
      </c>
      <c r="M34" s="13">
        <f>COUNTIF(M2:M30,"●")+COUNTIF(M2:M30,"○")</f>
        <v/>
      </c>
    </row>
  </sheetData>
  <autoFilter ref="A1:P30"/>
  <conditionalFormatting sqref="P2:P30">
    <cfRule type="cellIs" priority="1" operator="equal" dxfId="1">
      <formula>"NO"</formula>
    </cfRule>
    <cfRule type="cellIs" priority="2" operator="equal" dxfId="0">
      <formula>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9" customWidth="1" min="3" max="3"/>
    <col width="9" customWidth="1" min="4" max="4"/>
    <col width="12" customWidth="1" min="5" max="5"/>
    <col width="12" customWidth="1" min="6" max="6"/>
    <col width="18" customWidth="1" min="7" max="7"/>
    <col width="28" customWidth="1" min="8" max="8"/>
  </cols>
  <sheetData>
    <row r="1">
      <c r="A1" s="1" t="inlineStr">
        <is>
          <t>Functional coverage — Vivado 2026.1 xsim, merged over 55 runs on fixed RTL</t>
        </is>
      </c>
    </row>
    <row r="3">
      <c r="A3" s="11" t="inlineStr">
        <is>
          <t>Covergroup</t>
        </is>
      </c>
      <c r="B3" s="11" t="inlineStr">
        <is>
          <t>Coverpoints / crosses</t>
        </is>
      </c>
      <c r="C3" s="11" t="inlineStr">
        <is>
          <t>Weight</t>
        </is>
      </c>
      <c r="D3" s="11" t="inlineStr">
        <is>
          <t>Goal</t>
        </is>
      </c>
      <c r="E3" s="11" t="inlineStr">
        <is>
          <t>2026-09-26</t>
        </is>
      </c>
      <c r="F3" s="11" t="inlineStr">
        <is>
          <t>Latest</t>
        </is>
      </c>
      <c r="G3" s="11" t="inlineStr">
        <is>
          <t>Status</t>
        </is>
      </c>
      <c r="H3" s="11" t="inlineStr">
        <is>
          <t>Source</t>
        </is>
      </c>
    </row>
    <row r="4">
      <c r="A4" s="12" t="inlineStr">
        <is>
          <t>cg_reg_access</t>
        </is>
      </c>
      <c r="B4" s="12" t="inlineStr">
        <is>
          <t>offset (9 named + aliased), direction, offset × direction</t>
        </is>
      </c>
      <c r="C4" s="13" t="n">
        <v>1</v>
      </c>
      <c r="D4" s="16" t="n">
        <v>1</v>
      </c>
      <c r="E4" s="16" t="n">
        <v>0.852</v>
      </c>
      <c r="F4" s="17" t="n">
        <v>1</v>
      </c>
      <c r="G4" s="13">
        <f>IF(C4=0,"Tracked (weight 0)",IF(F4&gt;=D4,"Met","Open"))</f>
        <v/>
      </c>
      <c r="H4" s="12" t="inlineStr">
        <is>
          <t>openpcie_soc_coverage.svh</t>
        </is>
      </c>
    </row>
    <row r="5">
      <c r="A5" s="12" t="inlineStr">
        <is>
          <t>cg_tlp</t>
        </is>
      </c>
      <c r="B5" s="12" t="inlineStr">
        <is>
          <t>Type, Fmt, Length, final tkeep, Fmt × tkeep, Type × Fmt</t>
        </is>
      </c>
      <c r="C5" s="13" t="n">
        <v>1</v>
      </c>
      <c r="D5" s="16" t="n">
        <v>1</v>
      </c>
      <c r="E5" s="16" t="n">
        <v>0.615</v>
      </c>
      <c r="F5" s="17" t="n">
        <v>1</v>
      </c>
      <c r="G5" s="13">
        <f>IF(C5=0,"Tracked (weight 0)",IF(F5&gt;=D5,"Met","Open"))</f>
        <v/>
      </c>
      <c r="H5" s="12" t="inlineStr">
        <is>
          <t>openpcie_soc_coverage.svh</t>
        </is>
      </c>
    </row>
    <row r="6">
      <c r="A6" s="12" t="inlineStr">
        <is>
          <t>cg_sideband</t>
        </is>
      </c>
      <c r="B6" s="12" t="inlineStr">
        <is>
          <t>tx_buf_av, err_fatal, cfg_status, credit × err_fatal</t>
        </is>
      </c>
      <c r="C6" s="13" t="n">
        <v>1</v>
      </c>
      <c r="D6" s="16" t="n">
        <v>1</v>
      </c>
      <c r="E6" s="16" t="n">
        <v>0.5629999999999999</v>
      </c>
      <c r="F6" s="17" t="n">
        <v>1</v>
      </c>
      <c r="G6" s="13">
        <f>IF(C6=0,"Tracked (weight 0)",IF(F6&gt;=D6,"Met","Open"))</f>
        <v/>
      </c>
      <c r="H6" s="12" t="inlineStr">
        <is>
          <t>openpcie_soc_coverage.svh</t>
        </is>
      </c>
    </row>
    <row r="7">
      <c r="A7" s="12" t="inlineStr">
        <is>
          <t>cg_packet_t1 (tx, rx)</t>
        </is>
      </c>
      <c r="B7" s="12" t="inlineStr">
        <is>
          <t>2 beats; final tkeep 0x0F/0xFF; 12/16 bytes</t>
        </is>
      </c>
      <c r="C7" s="13" t="n">
        <v>1</v>
      </c>
      <c r="D7" s="16" t="n">
        <v>1</v>
      </c>
      <c r="E7" s="16" t="inlineStr">
        <is>
          <t>—</t>
        </is>
      </c>
      <c r="F7" s="17" t="n">
        <v>1</v>
      </c>
      <c r="G7" s="13">
        <f>IF(C7=0,"Tracked (weight 0)",IF(F7&gt;=D7,"Met","Open"))</f>
        <v/>
      </c>
      <c r="H7" s="12" t="inlineStr">
        <is>
          <t>openpcie_axis_coverage.svh</t>
        </is>
      </c>
    </row>
    <row r="8">
      <c r="A8" s="12" t="inlineStr">
        <is>
          <t>cg_packet (tx, rx)</t>
        </is>
      </c>
      <c r="B8" s="12" t="inlineStr">
        <is>
          <t>All packet shapes (kept for Tier 2)</t>
        </is>
      </c>
      <c r="C8" s="13" t="n">
        <v>0</v>
      </c>
      <c r="D8" s="16" t="inlineStr">
        <is>
          <t>n/a</t>
        </is>
      </c>
      <c r="E8" s="16" t="n">
        <v>0.241</v>
      </c>
      <c r="F8" s="17" t="n">
        <v>0.241</v>
      </c>
      <c r="G8" s="13">
        <f>IF(C8=0,"Tracked (weight 0)",IF(F8&gt;=D8,"Met","Open"))</f>
        <v/>
      </c>
      <c r="H8" s="12" t="inlineStr">
        <is>
          <t>openpcie_axis_coverage.svh</t>
        </is>
      </c>
    </row>
    <row r="9">
      <c r="A9" s="12" t="inlineStr">
        <is>
          <t>cg_tlp_diag</t>
        </is>
      </c>
      <c r="B9" s="12" t="inlineStr">
        <is>
          <t>Non-conforming Fmt/tkeep pairs — must stay empty</t>
        </is>
      </c>
      <c r="C9" s="13" t="n">
        <v>0</v>
      </c>
      <c r="D9" s="16" t="inlineStr">
        <is>
          <t>n/a</t>
        </is>
      </c>
      <c r="E9" s="16" t="inlineStr">
        <is>
          <t>—</t>
        </is>
      </c>
      <c r="F9" s="17" t="n">
        <v>0</v>
      </c>
      <c r="G9" s="13">
        <f>IF(C9=0,"Tracked (weight 0)",IF(F9&gt;=D9,"Met","Open"))</f>
        <v/>
      </c>
      <c r="H9" s="12" t="inlineStr">
        <is>
          <t>openpcie_soc_coverage.svh</t>
        </is>
      </c>
    </row>
    <row r="10">
      <c r="A10" s="5" t="inlineStr">
        <is>
          <t>Weighted score (weight-1 groups)</t>
        </is>
      </c>
      <c r="F10" s="18">
        <f>SUMPRODUCT(C4:C9,F4:F9)/SUM(C4:C9)</f>
        <v/>
      </c>
      <c r="G10" s="5">
        <f>IF(F10&gt;=0.95,"Met","Open")</f>
        <v/>
      </c>
    </row>
    <row r="11">
      <c r="A11" s="19" t="inlineStr">
        <is>
          <t>Note: cg_tlp_diag at 0 % is the passing outcome. The 2026-09-26 column is the pre-closure baseline (merged score 55.6 %). Sign-off goal: ≥ 95 %.</t>
        </is>
      </c>
    </row>
    <row r="13">
      <c r="A13" s="2" t="inlineStr">
        <is>
          <t>Assertion cover points (need VCS or Xcelium; xsim ignores cover property)</t>
        </is>
      </c>
    </row>
    <row r="14">
      <c r="A14" s="4" t="inlineStr">
        <is>
          <t>Cover point</t>
        </is>
      </c>
      <c r="B14" s="4" t="inlineStr">
        <is>
          <t>Source</t>
        </is>
      </c>
      <c r="C14" s="4" t="inlineStr">
        <is>
          <t>Hits</t>
        </is>
      </c>
      <c r="D14" s="4" t="inlineStr">
        <is>
          <t>Status</t>
        </is>
      </c>
    </row>
    <row r="15">
      <c r="A15" s="7" t="inlineStr">
        <is>
          <t>c_stall</t>
        </is>
      </c>
      <c r="B15" s="7" t="inlineStr">
        <is>
          <t>openpcie_axis_sva.sv</t>
        </is>
      </c>
      <c r="C15" s="10" t="n"/>
      <c r="D15" s="7">
        <f>IF(C15="","Not run",IF(C15&gt;0,"Met","Open"))</f>
        <v/>
      </c>
    </row>
    <row r="16">
      <c r="A16" s="7" t="inlineStr">
        <is>
          <t>c_stall_2cyc</t>
        </is>
      </c>
      <c r="B16" s="7" t="inlineStr">
        <is>
          <t>openpcie_axis_sva.sv</t>
        </is>
      </c>
      <c r="C16" s="10" t="n"/>
      <c r="D16" s="7">
        <f>IF(C16="","Not run",IF(C16&gt;0,"Met","Open"))</f>
        <v/>
      </c>
    </row>
    <row r="17">
      <c r="A17" s="7" t="inlineStr">
        <is>
          <t>c_stall_5cyc</t>
        </is>
      </c>
      <c r="B17" s="7" t="inlineStr">
        <is>
          <t>openpcie_axis_sva.sv</t>
        </is>
      </c>
      <c r="C17" s="10" t="n"/>
      <c r="D17" s="7">
        <f>IF(C17="","Not run",IF(C17&gt;0,"Met","Open"))</f>
        <v/>
      </c>
    </row>
    <row r="18">
      <c r="A18" s="7" t="inlineStr">
        <is>
          <t>c_stall_on_first</t>
        </is>
      </c>
      <c r="B18" s="7" t="inlineStr">
        <is>
          <t>openpcie_axis_sva.sv</t>
        </is>
      </c>
      <c r="C18" s="10" t="n"/>
      <c r="D18" s="7">
        <f>IF(C18="","Not run",IF(C18&gt;0,"Met","Open"))</f>
        <v/>
      </c>
    </row>
    <row r="19">
      <c r="A19" s="7" t="inlineStr">
        <is>
          <t>c_stall_on_last</t>
        </is>
      </c>
      <c r="B19" s="7" t="inlineStr">
        <is>
          <t>openpcie_axis_sva.sv</t>
        </is>
      </c>
      <c r="C19" s="10" t="n"/>
      <c r="D19" s="7">
        <f>IF(C19="","Not run",IF(C19&gt;0,"Met","Open"))</f>
        <v/>
      </c>
    </row>
    <row r="20">
      <c r="A20" s="7" t="inlineStr">
        <is>
          <t>c_btb_packets</t>
        </is>
      </c>
      <c r="B20" s="7" t="inlineStr">
        <is>
          <t>openpcie_axis_sva.sv</t>
        </is>
      </c>
      <c r="C20" s="10" t="n"/>
      <c r="D20" s="7">
        <f>IF(C20="","Not run",IF(C20&gt;0,"Met","Open"))</f>
        <v/>
      </c>
    </row>
    <row r="21">
      <c r="A21" s="7" t="inlineStr">
        <is>
          <t>c_partial_last</t>
        </is>
      </c>
      <c r="B21" s="7" t="inlineStr">
        <is>
          <t>openpcie_axis_sva.sv</t>
        </is>
      </c>
      <c r="C21" s="10" t="n"/>
      <c r="D21" s="7">
        <f>IF(C21="","Not run",IF(C21&gt;0,"Met","Open"))</f>
        <v/>
      </c>
    </row>
    <row r="22">
      <c r="A22" s="7" t="inlineStr">
        <is>
          <t>c_full_last</t>
        </is>
      </c>
      <c r="B22" s="7" t="inlineStr">
        <is>
          <t>openpcie_axis_sva.sv</t>
        </is>
      </c>
      <c r="C22" s="10" t="n"/>
      <c r="D22" s="7">
        <f>IF(C22="","Not run",IF(C22&gt;0,"Met","Open"))</f>
        <v/>
      </c>
    </row>
    <row r="23">
      <c r="A23" s="7" t="inlineStr">
        <is>
          <t>c_tx_full_packet</t>
        </is>
      </c>
      <c r="B23" s="7" t="inlineStr">
        <is>
          <t>openpcie_soc_sva.sv</t>
        </is>
      </c>
      <c r="C23" s="10" t="n"/>
      <c r="D23" s="7">
        <f>IF(C23="","Not run",IF(C23&gt;0,"Met","Open"))</f>
        <v/>
      </c>
    </row>
    <row r="24">
      <c r="A24" s="7" t="inlineStr">
        <is>
          <t>c_tx_stall_in_c1</t>
        </is>
      </c>
      <c r="B24" s="7" t="inlineStr">
        <is>
          <t>openpcie_soc_sva.sv</t>
        </is>
      </c>
      <c r="C24" s="10" t="n"/>
      <c r="D24" s="7">
        <f>IF(C24="","Not run",IF(C24&gt;0,"Met","Open"))</f>
        <v/>
      </c>
    </row>
    <row r="25">
      <c r="A25" s="7" t="inlineStr">
        <is>
          <t>c_tx_stall_in_c2</t>
        </is>
      </c>
      <c r="B25" s="7" t="inlineStr">
        <is>
          <t>openpcie_soc_sva.sv</t>
        </is>
      </c>
      <c r="C25" s="10" t="n"/>
      <c r="D25" s="7">
        <f>IF(C25="","Not run",IF(C25&gt;0,"Met","Open"))</f>
        <v/>
      </c>
    </row>
    <row r="26">
      <c r="A26" s="7" t="inlineStr">
        <is>
          <t>c_rx_phase_toggle</t>
        </is>
      </c>
      <c r="B26" s="7" t="inlineStr">
        <is>
          <t>openpcie_soc_sva.sv</t>
        </is>
      </c>
      <c r="C26" s="10" t="n"/>
      <c r="D26" s="7">
        <f>IF(C26="","Not run",IF(C26&gt;0,"Met","Open"))</f>
        <v/>
      </c>
    </row>
    <row r="27">
      <c r="A27" s="7" t="inlineStr">
        <is>
          <t>c_credit_exhausted</t>
        </is>
      </c>
      <c r="B27" s="7" t="inlineStr">
        <is>
          <t>openpcie_soc_sva.sv</t>
        </is>
      </c>
      <c r="C27" s="10" t="n"/>
      <c r="D27" s="7">
        <f>IF(C27="","Not run",IF(C27&gt;0,"Met","Open"))</f>
        <v/>
      </c>
    </row>
    <row r="28">
      <c r="A28" s="7" t="inlineStr">
        <is>
          <t>c_tx_while_no_credit</t>
        </is>
      </c>
      <c r="B28" s="7" t="inlineStr">
        <is>
          <t>openpcie_soc_sva.sv</t>
        </is>
      </c>
      <c r="C28" s="10" t="n"/>
      <c r="D28" s="7">
        <f>IF(C28="","Not run",IF(C28&gt;0,"Met","Open"))</f>
        <v/>
      </c>
    </row>
  </sheetData>
  <autoFilter ref="A3:H9"/>
  <conditionalFormatting sqref="G4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"Fail (expected)"</formula>
    </cfRule>
    <cfRule type="cellIs" priority="4" operator="equal" dxfId="2">
      <formula>"Partial"</formula>
    </cfRule>
    <cfRule type="cellIs" priority="5" operator="equal" dxfId="2">
      <formula>"Open"</formula>
    </cfRule>
    <cfRule type="cellIs" priority="6" operator="equal" dxfId="2">
      <formula>"Not run"</formula>
    </cfRule>
    <cfRule type="cellIs" priority="7" operator="equal" dxfId="0">
      <formula>"Met"</formula>
    </cfRule>
    <cfRule type="cellIs" priority="8" operator="equal" dxfId="0">
      <formula>"Verified"</formula>
    </cfRule>
    <cfRule type="cellIs" priority="9" operator="equal" dxfId="0">
      <formula>"Closed"</formula>
    </cfRule>
    <cfRule type="cellIs" priority="10" operator="equal" dxfId="0">
      <formula>"Fixed"</formula>
    </cfRule>
  </conditionalFormatting>
  <conditionalFormatting sqref="D15:D28">
    <cfRule type="cellIs" priority="11" operator="equal" dxfId="0">
      <formula>"Pass"</formula>
    </cfRule>
    <cfRule type="cellIs" priority="12" operator="equal" dxfId="1">
      <formula>"Fail"</formula>
    </cfRule>
    <cfRule type="cellIs" priority="13" operator="equal" dxfId="2">
      <formula>"Fail (expected)"</formula>
    </cfRule>
    <cfRule type="cellIs" priority="14" operator="equal" dxfId="2">
      <formula>"Partial"</formula>
    </cfRule>
    <cfRule type="cellIs" priority="15" operator="equal" dxfId="2">
      <formula>"Open"</formula>
    </cfRule>
    <cfRule type="cellIs" priority="16" operator="equal" dxfId="2">
      <formula>"Not run"</formula>
    </cfRule>
    <cfRule type="cellIs" priority="17" operator="equal" dxfId="0">
      <formula>"Met"</formula>
    </cfRule>
    <cfRule type="cellIs" priority="18" operator="equal" dxfId="0">
      <formula>"Verified"</formula>
    </cfRule>
    <cfRule type="cellIs" priority="19" operator="equal" dxfId="0">
      <formula>"Closed"</formula>
    </cfRule>
    <cfRule type="cellIs" priority="20" operator="equal" dxfId="0">
      <formula>"Fixed"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58" customWidth="1" min="3" max="3"/>
    <col width="26" customWidth="1" min="4" max="4"/>
    <col width="11" customWidth="1" min="5" max="5"/>
    <col width="20" customWidth="1" min="6" max="6"/>
    <col width="12" customWidth="1" min="7" max="7"/>
  </cols>
  <sheetData>
    <row r="1">
      <c r="A1" s="11" t="inlineStr">
        <is>
          <t>ID</t>
        </is>
      </c>
      <c r="B1" s="11" t="inlineStr">
        <is>
          <t>Source</t>
        </is>
      </c>
      <c r="C1" s="11" t="inlineStr">
        <is>
          <t>Property / check</t>
        </is>
      </c>
      <c r="D1" s="11" t="inlineStr">
        <is>
          <t>Requirement(s)</t>
        </is>
      </c>
      <c r="E1" s="11" t="inlineStr">
        <is>
          <t>Kind</t>
        </is>
      </c>
      <c r="F1" s="11" t="inlineStr">
        <is>
          <t>RTL as written</t>
        </is>
      </c>
      <c r="G1" s="11" t="inlineStr">
        <is>
          <t>With fixes</t>
        </is>
      </c>
    </row>
    <row r="2">
      <c r="A2" s="12" t="inlineStr">
        <is>
          <t>AXIS-001</t>
        </is>
      </c>
      <c r="B2" s="12" t="inlineStr">
        <is>
          <t>openpcie_axis_sva.sv</t>
        </is>
      </c>
      <c r="C2" s="12" t="inlineStr">
        <is>
          <t>tvalid stays high until tready</t>
        </is>
      </c>
      <c r="D2" s="12" t="inlineStr">
        <is>
          <t>TX-PROTO-001</t>
        </is>
      </c>
      <c r="E2" s="13" t="inlineStr">
        <is>
          <t>Assertion</t>
        </is>
      </c>
      <c r="F2" s="13" t="inlineStr">
        <is>
          <t>Fires (TX-PROTO-004)</t>
        </is>
      </c>
      <c r="G2" s="13" t="inlineStr">
        <is>
          <t>Clean</t>
        </is>
      </c>
    </row>
    <row r="3">
      <c r="A3" s="12" t="inlineStr">
        <is>
          <t>AXIS-002</t>
        </is>
      </c>
      <c r="B3" s="12" t="inlineStr">
        <is>
          <t>openpcie_axis_sva.sv</t>
        </is>
      </c>
      <c r="C3" s="12" t="inlineStr">
        <is>
          <t>tdata/tkeep/tlast stable while stalled</t>
        </is>
      </c>
      <c r="D3" s="12" t="inlineStr">
        <is>
          <t>TX-PROTO-002, TX-PROTO-004</t>
        </is>
      </c>
      <c r="E3" s="13" t="inlineStr">
        <is>
          <t>Assertion</t>
        </is>
      </c>
      <c r="F3" s="13" t="inlineStr">
        <is>
          <t>Fires (TX-PROTO-004)</t>
        </is>
      </c>
      <c r="G3" s="13" t="inlineStr">
        <is>
          <t>Clean</t>
        </is>
      </c>
    </row>
    <row r="4">
      <c r="A4" s="12" t="inlineStr">
        <is>
          <t>AXIS-003</t>
        </is>
      </c>
      <c r="B4" s="12" t="inlineStr">
        <is>
          <t>openpcie_axis_sva.sv</t>
        </is>
      </c>
      <c r="C4" s="12" t="inlineStr">
        <is>
          <t>A valid beat carries at least one byte</t>
        </is>
      </c>
      <c r="D4" s="12" t="inlineStr">
        <is>
          <t>TX-PROTO-003</t>
        </is>
      </c>
      <c r="E4" s="13" t="inlineStr">
        <is>
          <t>Assertion</t>
        </is>
      </c>
      <c r="F4" s="13" t="inlineStr">
        <is>
          <t>Clean</t>
        </is>
      </c>
      <c r="G4" s="13" t="inlineStr">
        <is>
          <t>Clean</t>
        </is>
      </c>
    </row>
    <row r="5">
      <c r="A5" s="12" t="inlineStr">
        <is>
          <t>AXIS-004</t>
        </is>
      </c>
      <c r="B5" s="12" t="inlineStr">
        <is>
          <t>openpcie_axis_sva.sv</t>
        </is>
      </c>
      <c r="C5" s="12" t="inlineStr">
        <is>
          <t>tkeep contiguous from bit 0</t>
        </is>
      </c>
      <c r="D5" s="12" t="inlineStr">
        <is>
          <t>TX-PROTO-003</t>
        </is>
      </c>
      <c r="E5" s="13" t="inlineStr">
        <is>
          <t>Assertion</t>
        </is>
      </c>
      <c r="F5" s="13" t="inlineStr">
        <is>
          <t>Clean</t>
        </is>
      </c>
      <c r="G5" s="13" t="inlineStr">
        <is>
          <t>Clean</t>
        </is>
      </c>
    </row>
    <row r="6">
      <c r="A6" s="12" t="inlineStr">
        <is>
          <t>AXIS-005</t>
        </is>
      </c>
      <c r="B6" s="12" t="inlineStr">
        <is>
          <t>openpcie_axis_sva.sv</t>
        </is>
      </c>
      <c r="C6" s="12" t="inlineStr">
        <is>
          <t>Only the last beat may be partial</t>
        </is>
      </c>
      <c r="D6" s="12" t="inlineStr">
        <is>
          <t>TX-PROTO-003</t>
        </is>
      </c>
      <c r="E6" s="13" t="inlineStr">
        <is>
          <t>Assertion</t>
        </is>
      </c>
      <c r="F6" s="13" t="inlineStr">
        <is>
          <t>Clean</t>
        </is>
      </c>
      <c r="G6" s="13" t="inlineStr">
        <is>
          <t>Clean</t>
        </is>
      </c>
    </row>
    <row r="7">
      <c r="A7" s="12" t="inlineStr">
        <is>
          <t>AXIS-006</t>
        </is>
      </c>
      <c r="B7" s="12" t="inlineStr">
        <is>
          <t>openpcie_axis_sva.sv</t>
        </is>
      </c>
      <c r="C7" s="12" t="inlineStr">
        <is>
          <t>No X/Z on control or data while tvalid</t>
        </is>
      </c>
      <c r="D7" s="12" t="inlineStr">
        <is>
          <t>TX-PROTO-003</t>
        </is>
      </c>
      <c r="E7" s="13" t="inlineStr">
        <is>
          <t>Assertion</t>
        </is>
      </c>
      <c r="F7" s="13" t="inlineStr">
        <is>
          <t>Clean</t>
        </is>
      </c>
      <c r="G7" s="13" t="inlineStr">
        <is>
          <t>Clean</t>
        </is>
      </c>
    </row>
    <row r="8">
      <c r="A8" s="12" t="inlineStr">
        <is>
          <t>AXIS-007</t>
        </is>
      </c>
      <c r="B8" s="12" t="inlineStr">
        <is>
          <t>openpcie_axis_sva.sv</t>
        </is>
      </c>
      <c r="C8" s="12" t="inlineStr">
        <is>
          <t>tvalid/tready never X out of reset</t>
        </is>
      </c>
      <c r="D8" s="12" t="inlineStr">
        <is>
          <t>TX-PROTO-001</t>
        </is>
      </c>
      <c r="E8" s="13" t="inlineStr">
        <is>
          <t>Assertion</t>
        </is>
      </c>
      <c r="F8" s="13" t="inlineStr">
        <is>
          <t>Clean</t>
        </is>
      </c>
      <c r="G8" s="13" t="inlineStr">
        <is>
          <t>Clean</t>
        </is>
      </c>
    </row>
    <row r="9">
      <c r="A9" s="12" t="inlineStr">
        <is>
          <t>SOC-001</t>
        </is>
      </c>
      <c r="B9" s="12" t="inlineStr">
        <is>
          <t>openpcie_soc_sva.sv</t>
        </is>
      </c>
      <c r="C9" s="12" t="inlineStr">
        <is>
          <t>tx_state only takes legal encodings</t>
        </is>
      </c>
      <c r="D9" s="12" t="inlineStr">
        <is>
          <t>TX-FMT-003</t>
        </is>
      </c>
      <c r="E9" s="13" t="inlineStr">
        <is>
          <t>Assertion</t>
        </is>
      </c>
      <c r="F9" s="13" t="inlineStr">
        <is>
          <t>Clean</t>
        </is>
      </c>
      <c r="G9" s="13" t="inlineStr">
        <is>
          <t>Clean</t>
        </is>
      </c>
    </row>
    <row r="10">
      <c r="A10" s="12" t="inlineStr">
        <is>
          <t>SOC-002</t>
        </is>
      </c>
      <c r="B10" s="12" t="inlineStr">
        <is>
          <t>openpcie_soc_sva.sv</t>
        </is>
      </c>
      <c r="C10" s="12" t="inlineStr">
        <is>
          <t>A packet is exactly two beats</t>
        </is>
      </c>
      <c r="D10" s="12" t="inlineStr">
        <is>
          <t>TX-FMT-003</t>
        </is>
      </c>
      <c r="E10" s="13" t="inlineStr">
        <is>
          <t>Assertion</t>
        </is>
      </c>
      <c r="F10" s="13" t="inlineStr">
        <is>
          <t>Fires (TX-PROTO-004)</t>
        </is>
      </c>
      <c r="G10" s="13" t="inlineStr">
        <is>
          <t>Clean</t>
        </is>
      </c>
    </row>
    <row r="11">
      <c r="A11" s="12" t="inlineStr">
        <is>
          <t>SOC-003</t>
        </is>
      </c>
      <c r="B11" s="12" t="inlineStr">
        <is>
          <t>openpcie_soc_sva.sv</t>
        </is>
      </c>
      <c r="C11" s="12" t="inlineStr">
        <is>
          <t>Final tkeep ∈ {0x0F, 0xFF} and agrees with Fmt[1]</t>
        </is>
      </c>
      <c r="D11" s="12" t="inlineStr">
        <is>
          <t>TX-FMT-001, TX-FMT-002</t>
        </is>
      </c>
      <c r="E11" s="13" t="inlineStr">
        <is>
          <t>Assertion</t>
        </is>
      </c>
      <c r="F11" s="13" t="inlineStr">
        <is>
          <t>Clean</t>
        </is>
      </c>
      <c r="G11" s="13" t="inlineStr">
        <is>
          <t>Clean</t>
        </is>
      </c>
    </row>
    <row r="12">
      <c r="A12" s="12" t="inlineStr">
        <is>
          <t>SOC-004</t>
        </is>
      </c>
      <c r="B12" s="12" t="inlineStr">
        <is>
          <t>openpcie_soc_sva.sv</t>
        </is>
      </c>
      <c r="C12" s="12" t="inlineStr">
        <is>
          <t>First beat tkeep = 0xFF</t>
        </is>
      </c>
      <c r="D12" s="12" t="inlineStr">
        <is>
          <t>TX-FMT-003</t>
        </is>
      </c>
      <c r="E12" s="13" t="inlineStr">
        <is>
          <t>Assertion</t>
        </is>
      </c>
      <c r="F12" s="13" t="inlineStr">
        <is>
          <t>Clean</t>
        </is>
      </c>
      <c r="G12" s="13" t="inlineStr">
        <is>
          <t>Clean</t>
        </is>
      </c>
    </row>
    <row r="13">
      <c r="A13" s="12" t="inlineStr">
        <is>
          <t>SOC-005</t>
        </is>
      </c>
      <c r="B13" s="12" t="inlineStr">
        <is>
          <t>openpcie_soc_sva.sv</t>
        </is>
      </c>
      <c r="C13" s="12" t="inlineStr">
        <is>
          <t>No tvalid while tx_state == IDLE</t>
        </is>
      </c>
      <c r="D13" s="12" t="inlineStr">
        <is>
          <t>TX-FMT-003</t>
        </is>
      </c>
      <c r="E13" s="13" t="inlineStr">
        <is>
          <t>Assertion</t>
        </is>
      </c>
      <c r="F13" s="13" t="inlineStr">
        <is>
          <t>Clean</t>
        </is>
      </c>
      <c r="G13" s="13" t="inlineStr">
        <is>
          <t>Clean</t>
        </is>
      </c>
    </row>
    <row r="14">
      <c r="A14" s="12" t="inlineStr">
        <is>
          <t>SOC-006</t>
        </is>
      </c>
      <c r="B14" s="12" t="inlineStr">
        <is>
          <t>openpcie_soc_sva.sv</t>
        </is>
      </c>
      <c r="C14" s="12" t="inlineStr">
        <is>
          <t>m_axis_rx_tready tied high</t>
        </is>
      </c>
      <c r="D14" s="12" t="inlineStr">
        <is>
          <t>RX-CAP-004</t>
        </is>
      </c>
      <c r="E14" s="13" t="inlineStr">
        <is>
          <t>Assertion</t>
        </is>
      </c>
      <c r="F14" s="13" t="inlineStr">
        <is>
          <t>Clean</t>
        </is>
      </c>
      <c r="G14" s="13" t="inlineStr">
        <is>
          <t>Clean</t>
        </is>
      </c>
    </row>
    <row r="15">
      <c r="A15" s="12" t="inlineStr">
        <is>
          <t>SOC-007</t>
        </is>
      </c>
      <c r="B15" s="12" t="inlineStr">
        <is>
          <t>openpcie_soc_sva.sv</t>
        </is>
      </c>
      <c r="C15" s="12" t="inlineStr">
        <is>
          <t>rx_phase never X/Z</t>
        </is>
      </c>
      <c r="D15" s="12" t="inlineStr">
        <is>
          <t>RX-CAP-002</t>
        </is>
      </c>
      <c r="E15" s="13" t="inlineStr">
        <is>
          <t>Assertion</t>
        </is>
      </c>
      <c r="F15" s="13" t="inlineStr">
        <is>
          <t>Clean</t>
        </is>
      </c>
      <c r="G15" s="13" t="inlineStr">
        <is>
          <t>Clean</t>
        </is>
      </c>
    </row>
    <row r="16">
      <c r="A16" s="12" t="inlineStr">
        <is>
          <t>SOC-008</t>
        </is>
      </c>
      <c r="B16" s="12" t="inlineStr">
        <is>
          <t>openpcie_soc_sva.sv</t>
        </is>
      </c>
      <c r="C16" s="12" t="inlineStr">
        <is>
          <t>CPU request stable until mem_ready</t>
        </is>
      </c>
      <c r="D16" s="12" t="inlineStr">
        <is>
          <t>CPU-001</t>
        </is>
      </c>
      <c r="E16" s="13" t="inlineStr">
        <is>
          <t>Assertion</t>
        </is>
      </c>
      <c r="F16" s="13" t="inlineStr">
        <is>
          <t>Clean</t>
        </is>
      </c>
      <c r="G16" s="13" t="inlineStr">
        <is>
          <t>Clean</t>
        </is>
      </c>
    </row>
    <row r="17">
      <c r="A17" s="12" t="inlineStr">
        <is>
          <t>SOC-009</t>
        </is>
      </c>
      <c r="B17" s="12" t="inlineStr">
        <is>
          <t>openpcie_soc_sva.sv</t>
        </is>
      </c>
      <c r="C17" s="12" t="inlineStr">
        <is>
          <t>mem_ready traceable to a request this or last cycle</t>
        </is>
      </c>
      <c r="D17" s="12" t="inlineStr">
        <is>
          <t>CPU-001</t>
        </is>
      </c>
      <c r="E17" s="13" t="inlineStr">
        <is>
          <t>Assertion</t>
        </is>
      </c>
      <c r="F17" s="13" t="inlineStr">
        <is>
          <t>Clean</t>
        </is>
      </c>
      <c r="G17" s="13" t="inlineStr">
        <is>
          <t>Clean</t>
        </is>
      </c>
    </row>
    <row r="18">
      <c r="A18" s="12" t="inlineStr">
        <is>
          <t>SOC-010</t>
        </is>
      </c>
      <c r="B18" s="12" t="inlineStr">
        <is>
          <t>openpcie_soc_sva.sv</t>
        </is>
      </c>
      <c r="C18" s="12" t="inlineStr">
        <is>
          <t>cfg_command, cfg_status, tx_buf_av never X/Z</t>
        </is>
      </c>
      <c r="D18" s="12" t="inlineStr">
        <is>
          <t>CFG-003</t>
        </is>
      </c>
      <c r="E18" s="13" t="inlineStr">
        <is>
          <t>Assertion</t>
        </is>
      </c>
      <c r="F18" s="13" t="inlineStr">
        <is>
          <t>Clean</t>
        </is>
      </c>
      <c r="G18" s="13" t="inlineStr">
        <is>
          <t>Clean</t>
        </is>
      </c>
    </row>
    <row r="19">
      <c r="A19" s="12" t="inlineStr">
        <is>
          <t>SOC-011</t>
        </is>
      </c>
      <c r="B19" s="12" t="inlineStr">
        <is>
          <t>openpcie_soc_sva.sv</t>
        </is>
      </c>
      <c r="C19" s="12" t="inlineStr">
        <is>
          <t>Trailing mem_ready pulse lasts at most one cycle</t>
        </is>
      </c>
      <c r="D19" s="12" t="inlineStr">
        <is>
          <t>CPU-001</t>
        </is>
      </c>
      <c r="E19" s="13" t="inlineStr">
        <is>
          <t>Assertion</t>
        </is>
      </c>
      <c r="F19" s="13" t="inlineStr">
        <is>
          <t>Clean</t>
        </is>
      </c>
      <c r="G19" s="13" t="inlineStr">
        <is>
          <t>Clean</t>
        </is>
      </c>
    </row>
    <row r="20">
      <c r="A20" s="12" t="inlineStr">
        <is>
          <t>SCBD/TX</t>
        </is>
      </c>
      <c r="B20" s="12" t="inlineStr">
        <is>
          <t>openpcie_scoreboard.svh</t>
        </is>
      </c>
      <c r="C20" s="12" t="inlineStr">
        <is>
          <t>Observed TX packet equals predicted; no unexpected/missing packets</t>
        </is>
      </c>
      <c r="D20" s="12" t="inlineStr">
        <is>
          <t>TX-*</t>
        </is>
      </c>
      <c r="E20" s="13" t="inlineStr">
        <is>
          <t>Checker</t>
        </is>
      </c>
      <c r="F20" s="13" t="inlineStr">
        <is>
          <t>Fires (TX-PROTO-004)</t>
        </is>
      </c>
      <c r="G20" s="13" t="inlineStr">
        <is>
          <t>Clean</t>
        </is>
      </c>
    </row>
    <row r="21">
      <c r="A21" s="12" t="inlineStr">
        <is>
          <t>SCBD/RD</t>
        </is>
      </c>
      <c r="B21" s="12" t="inlineStr">
        <is>
          <t>openpcie_scoreboard.svh</t>
        </is>
      </c>
      <c r="C21" s="12" t="inlineStr">
        <is>
          <t>Register readback equals predictor shadow</t>
        </is>
      </c>
      <c r="D21" s="12" t="inlineStr">
        <is>
          <t>REG-*, RX-CAP-*, CFG-*</t>
        </is>
      </c>
      <c r="E21" s="13" t="inlineStr">
        <is>
          <t>Checker</t>
        </is>
      </c>
      <c r="F21" s="13" t="inlineStr">
        <is>
          <t>Clean</t>
        </is>
      </c>
      <c r="G21" s="13" t="inlineStr">
        <is>
          <t>Clean</t>
        </is>
      </c>
    </row>
    <row r="22">
      <c r="A22" s="12" t="inlineStr">
        <is>
          <t>SCBD (EOT)</t>
        </is>
      </c>
      <c r="B22" s="12" t="inlineStr">
        <is>
          <t>openpcie_scoreboard.svh</t>
        </is>
      </c>
      <c r="C22" s="12" t="inlineStr">
        <is>
          <t>No leftovers; TX activity seen when required</t>
        </is>
      </c>
      <c r="D22" s="12" t="inlineStr">
        <is>
          <t>All</t>
        </is>
      </c>
      <c r="E22" s="13" t="inlineStr">
        <is>
          <t>Checker</t>
        </is>
      </c>
      <c r="F22" s="13" t="inlineStr">
        <is>
          <t>Clean</t>
        </is>
      </c>
      <c r="G22" s="13" t="inlineStr">
        <is>
          <t>Clean</t>
        </is>
      </c>
    </row>
    <row r="23">
      <c r="A23" s="12" t="inlineStr">
        <is>
          <t>AXIS/PROTO</t>
        </is>
      </c>
      <c r="B23" s="12" t="inlineStr">
        <is>
          <t>openpcie_axis_monitor.svh</t>
        </is>
      </c>
      <c r="C23" s="12" t="inlineStr">
        <is>
          <t>Handshake/stability rules needing packet history</t>
        </is>
      </c>
      <c r="D23" s="12" t="inlineStr">
        <is>
          <t>TX-PROTO-*</t>
        </is>
      </c>
      <c r="E23" s="13" t="inlineStr">
        <is>
          <t>Checker</t>
        </is>
      </c>
      <c r="F23" s="13" t="inlineStr">
        <is>
          <t>Fires (TX-PROTO-004)</t>
        </is>
      </c>
      <c r="G23" s="13" t="inlineStr">
        <is>
          <t>Clean</t>
        </is>
      </c>
    </row>
    <row r="24">
      <c r="A24" s="12" t="inlineStr">
        <is>
          <t>FWBOX</t>
        </is>
      </c>
      <c r="B24" s="12" t="inlineStr">
        <is>
          <t>openpcie_fw_mailbox.svh</t>
        </is>
      </c>
      <c r="C24" s="12" t="inlineStr">
        <is>
          <t>Boot timeout, command timeout, mailbox handshake order</t>
        </is>
      </c>
      <c r="D24" s="12" t="inlineStr">
        <is>
          <t>SMOKE-001</t>
        </is>
      </c>
      <c r="E24" s="13" t="inlineStr">
        <is>
          <t>Checker</t>
        </is>
      </c>
      <c r="F24" s="13" t="inlineStr">
        <is>
          <t>Clean</t>
        </is>
      </c>
      <c r="G24" s="13" t="inlineStr">
        <is>
          <t>Clean</t>
        </is>
      </c>
    </row>
  </sheetData>
  <autoFilter ref="A1:G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6" customWidth="1" min="3" max="3"/>
    <col width="22" customWidth="1" min="4" max="4"/>
    <col width="22" customWidth="1" min="5" max="5"/>
    <col width="13" customWidth="1" min="6" max="6"/>
    <col width="44" customWidth="1" min="7" max="7"/>
    <col width="10" customWidth="1" min="8" max="8"/>
    <col width="22" customWidth="1" min="9" max="9"/>
    <col width="30" customWidth="1" min="10" max="10"/>
  </cols>
  <sheetData>
    <row r="1">
      <c r="A1" s="11" t="inlineStr">
        <is>
          <t>ID</t>
        </is>
      </c>
      <c r="B1" s="11" t="inlineStr">
        <is>
          <t>Severity</t>
        </is>
      </c>
      <c r="C1" s="11" t="inlineStr">
        <is>
          <t>Description</t>
        </is>
      </c>
      <c r="D1" s="11" t="inlineStr">
        <is>
          <t>Location</t>
        </is>
      </c>
      <c r="E1" s="11" t="inlineStr">
        <is>
          <t>Found by</t>
        </is>
      </c>
      <c r="F1" s="11" t="inlineStr">
        <is>
          <t>Evidence</t>
        </is>
      </c>
      <c r="G1" s="11" t="inlineStr">
        <is>
          <t>Fix</t>
        </is>
      </c>
      <c r="H1" s="11" t="inlineStr">
        <is>
          <t>Status</t>
        </is>
      </c>
      <c r="I1" s="11" t="inlineStr">
        <is>
          <t>Upstream issue / PR</t>
        </is>
      </c>
      <c r="J1" s="11" t="inlineStr">
        <is>
          <t>Comments</t>
        </is>
      </c>
    </row>
    <row r="2">
      <c r="A2" s="12" t="inlineStr">
        <is>
          <t>TX-PROTO-004</t>
        </is>
      </c>
      <c r="B2" s="13" t="inlineStr">
        <is>
          <t>High</t>
        </is>
      </c>
      <c r="C2" s="12" t="inlineStr">
        <is>
          <t>TX FSM samples tready one cycle early; beat 0 is lost under backpressure</t>
        </is>
      </c>
      <c r="D2" s="12" t="inlineStr">
        <is>
          <t>riscv_pcie_soc.sv:195-211</t>
        </is>
      </c>
      <c r="E2" s="12" t="inlineStr">
        <is>
          <t>TC-04, TC-05, TC-06, TC-11</t>
        </is>
      </c>
      <c r="F2" s="13" t="inlineStr">
        <is>
          <t>Confirmed</t>
        </is>
      </c>
      <c r="G2" s="12" t="inlineStr">
        <is>
          <t>patches/0002-tx-fsm-honour-axis-handshake.patch</t>
        </is>
      </c>
      <c r="H2" s="14" t="inlineStr">
        <is>
          <t>Open</t>
        </is>
      </c>
      <c r="I2" s="15" t="inlineStr"/>
      <c r="J2" s="15" t="inlineStr"/>
    </row>
    <row r="3">
      <c r="A3" s="12" t="inlineStr">
        <is>
          <t>REG-004</t>
        </is>
      </c>
      <c r="B3" s="13" t="inlineStr">
        <is>
          <t>Medium</t>
        </is>
      </c>
      <c r="C3" s="12" t="inlineStr">
        <is>
          <t>Register writes ignore addr[5]: write to PHY_STATUS overwrites TX_HDR0; write to +0x2C starts a transmit</t>
        </is>
      </c>
      <c r="D3" s="12" t="inlineStr">
        <is>
          <t>:175</t>
        </is>
      </c>
      <c r="E3" s="12" t="inlineStr">
        <is>
          <t>TC-08</t>
        </is>
      </c>
      <c r="F3" s="13" t="inlineStr">
        <is>
          <t>Confirmed</t>
        </is>
      </c>
      <c r="G3" s="12" t="inlineStr">
        <is>
          <t>patches/0003-bridge-write-decode-use-addr5.patch</t>
        </is>
      </c>
      <c r="H3" s="14" t="inlineStr">
        <is>
          <t>Open</t>
        </is>
      </c>
      <c r="I3" s="15" t="inlineStr"/>
      <c r="J3" s="15" t="inlineStr"/>
    </row>
    <row r="4">
      <c r="A4" s="12" t="inlineStr">
        <is>
          <t>RTL-SIM-001</t>
        </is>
      </c>
      <c r="B4" s="13" t="inlineStr">
        <is>
          <t>Medium</t>
        </is>
      </c>
      <c r="C4" s="12" t="inlineStr">
        <is>
          <t>ram written by both $readmemh and always_ff; VCS will not elaborate</t>
        </is>
      </c>
      <c r="D4" s="12" t="inlineStr">
        <is>
          <t>:99-120</t>
        </is>
      </c>
      <c r="E4" s="12" t="inlineStr">
        <is>
          <t>all (compile)</t>
        </is>
      </c>
      <c r="F4" s="13" t="inlineStr">
        <is>
          <t>Confirmed</t>
        </is>
      </c>
      <c r="G4" s="12" t="inlineStr">
        <is>
          <t>patches/0001-ram-always-instead-of-always_ff.patch (applied by patch layer)</t>
        </is>
      </c>
      <c r="H4" s="14" t="inlineStr">
        <is>
          <t>Open</t>
        </is>
      </c>
      <c r="I4" s="15" t="inlineStr"/>
      <c r="J4" s="15" t="inlineStr"/>
    </row>
    <row r="5">
      <c r="A5" s="12" t="inlineStr">
        <is>
          <t>CFG-003</t>
        </is>
      </c>
      <c r="B5" s="13" t="inlineStr">
        <is>
          <t>Low</t>
        </is>
      </c>
      <c r="C5" s="12" t="inlineStr">
        <is>
          <t>cfg_command input never read; unconnected at chip top</t>
        </is>
      </c>
      <c r="D5" s="12" t="inlineStr">
        <is>
          <t>:60</t>
        </is>
      </c>
      <c r="E5" s="12" t="inlineStr">
        <is>
          <t>TC-09</t>
        </is>
      </c>
      <c r="F5" s="13" t="inlineStr">
        <is>
          <t>Documented</t>
        </is>
      </c>
      <c r="G5" s="12" t="inlineStr">
        <is>
          <t>—</t>
        </is>
      </c>
      <c r="H5" s="14" t="inlineStr">
        <is>
          <t>Open</t>
        </is>
      </c>
      <c r="I5" s="15" t="inlineStr"/>
      <c r="J5" s="15" t="inlineStr"/>
    </row>
    <row r="6">
      <c r="A6" s="12" t="inlineStr">
        <is>
          <t>RTL-SIM-002</t>
        </is>
      </c>
      <c r="B6" s="13" t="inlineStr">
        <is>
          <t>Low</t>
        </is>
      </c>
      <c r="C6" s="12" t="inlineStr">
        <is>
          <t>RAM path re-arms mem_ready for one extra cycle (benign)</t>
        </is>
      </c>
      <c r="D6" s="12" t="inlineStr">
        <is>
          <t>:106-120</t>
        </is>
      </c>
      <c r="E6" s="12" t="inlineStr">
        <is>
          <t>SOC-009/011</t>
        </is>
      </c>
      <c r="F6" s="13" t="inlineStr">
        <is>
          <t>Documented</t>
        </is>
      </c>
      <c r="G6" s="12" t="inlineStr">
        <is>
          <t>Optional: &amp;&amp; !ram_ready_reg</t>
        </is>
      </c>
      <c r="H6" s="14" t="inlineStr">
        <is>
          <t>Open</t>
        </is>
      </c>
      <c r="I6" s="15" t="inlineStr"/>
      <c r="J6" s="15" t="inlineStr"/>
    </row>
    <row r="7">
      <c r="A7" s="12" t="inlineStr">
        <is>
          <t>TX-FLOW-002</t>
        </is>
      </c>
      <c r="B7" s="13" t="inlineStr">
        <is>
          <t>Info</t>
        </is>
      </c>
      <c r="C7" s="12" t="inlineStr">
        <is>
          <t>No HW busy interlock on TX_DATA; software must poll tx_state</t>
        </is>
      </c>
      <c r="D7" s="12" t="inlineStr">
        <is>
          <t>:180-185</t>
        </is>
      </c>
      <c r="E7" s="12" t="inlineStr">
        <is>
          <t>—</t>
        </is>
      </c>
      <c r="F7" s="13" t="inlineStr">
        <is>
          <t>Documented</t>
        </is>
      </c>
      <c r="G7" s="12" t="inlineStr">
        <is>
          <t>—</t>
        </is>
      </c>
      <c r="H7" s="14" t="inlineStr">
        <is>
          <t>Closed</t>
        </is>
      </c>
      <c r="I7" s="15" t="inlineStr"/>
      <c r="J7" s="15" t="inlineStr"/>
    </row>
    <row r="8">
      <c r="A8" s="12" t="inlineStr">
        <is>
          <t>REG-003</t>
        </is>
      </c>
      <c r="B8" s="13" t="inlineStr">
        <is>
          <t>Info</t>
        </is>
      </c>
      <c r="C8" s="12" t="inlineStr">
        <is>
          <t>Read decode aliases every 64 bytes</t>
        </is>
      </c>
      <c r="D8" s="12" t="inlineStr">
        <is>
          <t>:239-249</t>
        </is>
      </c>
      <c r="E8" s="12" t="inlineStr">
        <is>
          <t>TC-08</t>
        </is>
      </c>
      <c r="F8" s="13" t="inlineStr">
        <is>
          <t>Documented</t>
        </is>
      </c>
      <c r="G8" s="12" t="inlineStr">
        <is>
          <t>—</t>
        </is>
      </c>
      <c r="H8" s="14" t="inlineStr">
        <is>
          <t>Closed</t>
        </is>
      </c>
      <c r="I8" s="15" t="inlineStr"/>
      <c r="J8" s="15" t="inlineStr"/>
    </row>
    <row r="9">
      <c r="A9" s="12" t="inlineStr">
        <is>
          <t>RX-CAP-003</t>
        </is>
      </c>
      <c r="B9" s="13" t="inlineStr">
        <is>
          <t>Info</t>
        </is>
      </c>
      <c r="C9" s="12" t="inlineStr">
        <is>
          <t>RX capture FSM cannot resynchronise to packet boundaries</t>
        </is>
      </c>
      <c r="D9" s="12" t="inlineStr">
        <is>
          <t>:215-229</t>
        </is>
      </c>
      <c r="E9" s="12" t="inlineStr">
        <is>
          <t>TC-07</t>
        </is>
      </c>
      <c r="F9" s="13" t="inlineStr">
        <is>
          <t>Documented</t>
        </is>
      </c>
      <c r="G9" s="12" t="inlineStr">
        <is>
          <t>—</t>
        </is>
      </c>
      <c r="H9" s="14" t="inlineStr">
        <is>
          <t>Closed</t>
        </is>
      </c>
      <c r="I9" s="15" t="inlineStr"/>
      <c r="J9" s="15" t="inlineStr"/>
    </row>
    <row r="10">
      <c r="A10" s="12" t="inlineStr">
        <is>
          <t>FW-001</t>
        </is>
      </c>
      <c r="B10" s="13" t="inlineStr">
        <is>
          <t>Info</t>
        </is>
      </c>
      <c r="C10" s="12" t="inlineStr">
        <is>
          <t>Initial stack pointer 0x2000 is one word past the RAM (latent)</t>
        </is>
      </c>
      <c r="D10" s="12" t="inlineStr">
        <is>
          <t>tb/fw/mailbox_fw.s</t>
        </is>
      </c>
      <c r="E10" s="12" t="inlineStr">
        <is>
          <t>—</t>
        </is>
      </c>
      <c r="F10" s="13" t="inlineStr">
        <is>
          <t>Documented</t>
        </is>
      </c>
      <c r="G10" s="12" t="inlineStr">
        <is>
          <t>—</t>
        </is>
      </c>
      <c r="H10" s="14" t="inlineStr">
        <is>
          <t>Closed</t>
        </is>
      </c>
      <c r="I10" s="15" t="inlineStr"/>
      <c r="J10" s="15" t="inlineStr"/>
    </row>
  </sheetData>
  <autoFilter ref="A1:J10"/>
  <conditionalFormatting sqref="H2:H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"Fail (expected)"</formula>
    </cfRule>
    <cfRule type="cellIs" priority="4" operator="equal" dxfId="2">
      <formula>"Partial"</formula>
    </cfRule>
    <cfRule type="cellIs" priority="5" operator="equal" dxfId="2">
      <formula>"Open"</formula>
    </cfRule>
    <cfRule type="cellIs" priority="6" operator="equal" dxfId="2">
      <formula>"Not run"</formula>
    </cfRule>
    <cfRule type="cellIs" priority="7" operator="equal" dxfId="0">
      <formula>"Met"</formula>
    </cfRule>
    <cfRule type="cellIs" priority="8" operator="equal" dxfId="0">
      <formula>"Verified"</formula>
    </cfRule>
    <cfRule type="cellIs" priority="9" operator="equal" dxfId="0">
      <formula>"Closed"</formula>
    </cfRule>
    <cfRule type="cellIs" priority="10" operator="equal" dxfId="0">
      <formula>"Fixed"</formula>
    </cfRule>
  </conditionalFormatting>
  <dataValidations count="1">
    <dataValidation sqref="H2:H10" showDropDown="0" showInputMessage="0" showErrorMessage="0" allowBlank="0" type="list">
      <formula1>"Open,Fixed,Closed,Won't fix"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Regression results — Vivado 2026.1 xsim, seeds 1–5, 2026-10-20</t>
        </is>
      </c>
    </row>
    <row r="3">
      <c r="A3" s="11" t="inlineStr">
        <is>
          <t>TC ID</t>
        </is>
      </c>
      <c r="B3" s="11" t="inlineStr">
        <is>
          <t>Test</t>
        </is>
      </c>
      <c r="C3" s="11" t="inlineStr">
        <is>
          <t>Seeds</t>
        </is>
      </c>
      <c r="D3" s="11" t="inlineStr">
        <is>
          <t>Pass: RTL as written</t>
        </is>
      </c>
      <c r="E3" s="11" t="inlineStr">
        <is>
          <t>Fail: RTL as written</t>
        </is>
      </c>
      <c r="F3" s="11" t="inlineStr">
        <is>
          <t>Pass: with fixes</t>
        </is>
      </c>
      <c r="G3" s="11" t="inlineStr">
        <is>
          <t>Fail: with fixes</t>
        </is>
      </c>
      <c r="H3" s="11" t="inlineStr">
        <is>
          <t>Verdict</t>
        </is>
      </c>
    </row>
    <row r="4">
      <c r="A4" s="13" t="inlineStr">
        <is>
          <t>TC-01</t>
        </is>
      </c>
      <c r="B4" s="12" t="inlineStr">
        <is>
          <t>openpcie_smoke_test</t>
        </is>
      </c>
      <c r="C4" s="14" t="n">
        <v>5</v>
      </c>
      <c r="D4" s="14" t="n">
        <v>5</v>
      </c>
      <c r="E4" s="13">
        <f>C4-D4</f>
        <v/>
      </c>
      <c r="F4" s="14" t="n">
        <v>5</v>
      </c>
      <c r="G4" s="13">
        <f>C4-F4</f>
        <v/>
      </c>
      <c r="H4" s="13">
        <f>IF(F4=C4,IF(D4=C4,"Pass","Pass with fixes"),"Fail")</f>
        <v/>
      </c>
    </row>
    <row r="5">
      <c r="A5" s="13" t="inlineStr">
        <is>
          <t>TC-02</t>
        </is>
      </c>
      <c r="B5" s="12" t="inlineStr">
        <is>
          <t>openpcie_tx_directed_test</t>
        </is>
      </c>
      <c r="C5" s="14" t="n">
        <v>5</v>
      </c>
      <c r="D5" s="14" t="n">
        <v>5</v>
      </c>
      <c r="E5" s="13">
        <f>C5-D5</f>
        <v/>
      </c>
      <c r="F5" s="14" t="n">
        <v>5</v>
      </c>
      <c r="G5" s="13">
        <f>C5-F5</f>
        <v/>
      </c>
      <c r="H5" s="13">
        <f>IF(F5=C5,IF(D5=C5,"Pass","Pass with fixes"),"Fail")</f>
        <v/>
      </c>
    </row>
    <row r="6">
      <c r="A6" s="13" t="inlineStr">
        <is>
          <t>TC-03</t>
        </is>
      </c>
      <c r="B6" s="12" t="inlineStr">
        <is>
          <t>openpcie_tx_random_test</t>
        </is>
      </c>
      <c r="C6" s="14" t="n">
        <v>5</v>
      </c>
      <c r="D6" s="14" t="n">
        <v>5</v>
      </c>
      <c r="E6" s="13">
        <f>C6-D6</f>
        <v/>
      </c>
      <c r="F6" s="14" t="n">
        <v>5</v>
      </c>
      <c r="G6" s="13">
        <f>C6-F6</f>
        <v/>
      </c>
      <c r="H6" s="13">
        <f>IF(F6=C6,IF(D6=C6,"Pass","Pass with fixes"),"Fail")</f>
        <v/>
      </c>
    </row>
    <row r="7">
      <c r="A7" s="13" t="inlineStr">
        <is>
          <t>TC-04</t>
        </is>
      </c>
      <c r="B7" s="12" t="inlineStr">
        <is>
          <t>openpcie_tx_backpressure_test</t>
        </is>
      </c>
      <c r="C7" s="14" t="n">
        <v>5</v>
      </c>
      <c r="D7" s="14" t="n">
        <v>0</v>
      </c>
      <c r="E7" s="13">
        <f>C7-D7</f>
        <v/>
      </c>
      <c r="F7" s="14" t="n">
        <v>5</v>
      </c>
      <c r="G7" s="13">
        <f>C7-F7</f>
        <v/>
      </c>
      <c r="H7" s="13">
        <f>IF(F7=C7,IF(D7=C7,"Pass","Pass with fixes"),"Fail")</f>
        <v/>
      </c>
    </row>
    <row r="8">
      <c r="A8" s="13" t="inlineStr">
        <is>
          <t>TC-05</t>
        </is>
      </c>
      <c r="B8" s="12" t="inlineStr">
        <is>
          <t>openpcie_tx_slow_sink_test</t>
        </is>
      </c>
      <c r="C8" s="14" t="n">
        <v>5</v>
      </c>
      <c r="D8" s="14" t="n">
        <v>0</v>
      </c>
      <c r="E8" s="13">
        <f>C8-D8</f>
        <v/>
      </c>
      <c r="F8" s="14" t="n">
        <v>5</v>
      </c>
      <c r="G8" s="13">
        <f>C8-F8</f>
        <v/>
      </c>
      <c r="H8" s="13">
        <f>IF(F8=C8,IF(D8=C8,"Pass","Pass with fixes"),"Fail")</f>
        <v/>
      </c>
    </row>
    <row r="9">
      <c r="A9" s="13" t="inlineStr">
        <is>
          <t>TC-06</t>
        </is>
      </c>
      <c r="B9" s="12" t="inlineStr">
        <is>
          <t>openpcie_tx_burst_sink_test</t>
        </is>
      </c>
      <c r="C9" s="14" t="n">
        <v>5</v>
      </c>
      <c r="D9" s="14" t="n">
        <v>0</v>
      </c>
      <c r="E9" s="13">
        <f>C9-D9</f>
        <v/>
      </c>
      <c r="F9" s="14" t="n">
        <v>5</v>
      </c>
      <c r="G9" s="13">
        <f>C9-F9</f>
        <v/>
      </c>
      <c r="H9" s="13">
        <f>IF(F9=C9,IF(D9=C9,"Pass","Pass with fixes"),"Fail")</f>
        <v/>
      </c>
    </row>
    <row r="10">
      <c r="A10" s="13" t="inlineStr">
        <is>
          <t>TC-07</t>
        </is>
      </c>
      <c r="B10" s="12" t="inlineStr">
        <is>
          <t>openpcie_rx_cpl_test</t>
        </is>
      </c>
      <c r="C10" s="14" t="n">
        <v>5</v>
      </c>
      <c r="D10" s="14" t="n">
        <v>5</v>
      </c>
      <c r="E10" s="13">
        <f>C10-D10</f>
        <v/>
      </c>
      <c r="F10" s="14" t="n">
        <v>5</v>
      </c>
      <c r="G10" s="13">
        <f>C10-F10</f>
        <v/>
      </c>
      <c r="H10" s="13">
        <f>IF(F10=C10,IF(D10=C10,"Pass","Pass with fixes"),"Fail")</f>
        <v/>
      </c>
    </row>
    <row r="11">
      <c r="A11" s="13" t="inlineStr">
        <is>
          <t>TC-08</t>
        </is>
      </c>
      <c r="B11" s="12" t="inlineStr">
        <is>
          <t>openpcie_reg_access_test</t>
        </is>
      </c>
      <c r="C11" s="14" t="n">
        <v>5</v>
      </c>
      <c r="D11" s="14" t="n">
        <v>5</v>
      </c>
      <c r="E11" s="13">
        <f>C11-D11</f>
        <v/>
      </c>
      <c r="F11" s="14" t="n">
        <v>5</v>
      </c>
      <c r="G11" s="13">
        <f>C11-F11</f>
        <v/>
      </c>
      <c r="H11" s="13">
        <f>IF(F11=C11,IF(D11=C11,"Pass","Pass with fixes"),"Fail")</f>
        <v/>
      </c>
    </row>
    <row r="12">
      <c r="A12" s="13" t="inlineStr">
        <is>
          <t>TC-09</t>
        </is>
      </c>
      <c r="B12" s="12" t="inlineStr">
        <is>
          <t>openpcie_sideband_test</t>
        </is>
      </c>
      <c r="C12" s="14" t="n">
        <v>5</v>
      </c>
      <c r="D12" s="14" t="n">
        <v>5</v>
      </c>
      <c r="E12" s="13">
        <f>C12-D12</f>
        <v/>
      </c>
      <c r="F12" s="14" t="n">
        <v>5</v>
      </c>
      <c r="G12" s="13">
        <f>C12-F12</f>
        <v/>
      </c>
      <c r="H12" s="13">
        <f>IF(F12=C12,IF(D12=C12,"Pass","Pass with fixes"),"Fail")</f>
        <v/>
      </c>
    </row>
    <row r="13">
      <c r="A13" s="13" t="inlineStr">
        <is>
          <t>TC-10</t>
        </is>
      </c>
      <c r="B13" s="12" t="inlineStr">
        <is>
          <t>openpcie_reset_test</t>
        </is>
      </c>
      <c r="C13" s="14" t="n">
        <v>5</v>
      </c>
      <c r="D13" s="14" t="n">
        <v>5</v>
      </c>
      <c r="E13" s="13">
        <f>C13-D13</f>
        <v/>
      </c>
      <c r="F13" s="14" t="n">
        <v>5</v>
      </c>
      <c r="G13" s="13">
        <f>C13-F13</f>
        <v/>
      </c>
      <c r="H13" s="13">
        <f>IF(F13=C13,IF(D13=C13,"Pass","Pass with fixes"),"Fail")</f>
        <v/>
      </c>
    </row>
    <row r="14">
      <c r="A14" s="13" t="inlineStr">
        <is>
          <t>TC-11</t>
        </is>
      </c>
      <c r="B14" s="12" t="inlineStr">
        <is>
          <t>openpcie_random_test</t>
        </is>
      </c>
      <c r="C14" s="14" t="n">
        <v>5</v>
      </c>
      <c r="D14" s="14" t="n">
        <v>0</v>
      </c>
      <c r="E14" s="13">
        <f>C14-D14</f>
        <v/>
      </c>
      <c r="F14" s="14" t="n">
        <v>5</v>
      </c>
      <c r="G14" s="13">
        <f>C14-F14</f>
        <v/>
      </c>
      <c r="H14" s="13">
        <f>IF(F14=C14,IF(D14=C14,"Pass","Pass with fixes"),"Fail")</f>
        <v/>
      </c>
    </row>
    <row r="15">
      <c r="B15" s="2" t="inlineStr">
        <is>
          <t>Total</t>
        </is>
      </c>
      <c r="C15" s="20">
        <f>SUM(C4:C14)</f>
        <v/>
      </c>
      <c r="D15" s="20">
        <f>SUM(D4:D14)</f>
        <v/>
      </c>
      <c r="E15" s="20">
        <f>SUM(E4:E14)</f>
        <v/>
      </c>
      <c r="F15" s="20">
        <f>SUM(F4:F14)</f>
        <v/>
      </c>
      <c r="G15" s="20">
        <f>SUM(G4:G14)</f>
        <v/>
      </c>
    </row>
    <row r="16">
      <c r="B16" s="2" t="inlineStr">
        <is>
          <t>Pass rate</t>
        </is>
      </c>
      <c r="D16" s="21">
        <f>IF($C$15=0,0,D15/$C$15)</f>
        <v/>
      </c>
      <c r="F16" s="21">
        <f>IF($C$15=0,0,F15/$C$15)</f>
        <v/>
      </c>
    </row>
    <row r="18">
      <c r="A18" s="19" t="inlineStr">
        <is>
          <t>Every failure on the RTL as written is AXIS/PROTO + SCBD/TX from TX-PROTO-004 (4163 errors in the 20 failing runs: 3447 AXIS/PROTO, 400 SVA/AXIS, 196 SVA/SOC, 120 SCBD/TX). Source: build/xsim/regress_nofix and regress_fixed logs.</t>
        </is>
      </c>
    </row>
  </sheetData>
  <autoFilter ref="A3:H14"/>
  <conditionalFormatting sqref="H4:H14">
    <cfRule type="cellIs" priority="1" operator="equal" dxfId="0">
      <formula>"Pass"</formula>
    </cfRule>
    <cfRule type="cellIs" priority="2" operator="equal" dxfId="2">
      <formula>"Pass with fixes"</formula>
    </cfRule>
    <cfRule type="cellIs" priority="3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2026-10-20T07:13:04Z</dcterms:created>
  <dcterms:modified xsi:type="dcterms:W3CDTF">2026-10-20T07:13:04Z</dcterms:modified>
</cp:coreProperties>
</file>